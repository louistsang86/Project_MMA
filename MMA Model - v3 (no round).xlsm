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uisTsang/Documents/GA - Data Science 2016/Project/Project_MMA/"/>
    </mc:Choice>
  </mc:AlternateContent>
  <bookViews>
    <workbookView xWindow="0" yWindow="460" windowWidth="27320" windowHeight="13420" tabRatio="500"/>
  </bookViews>
  <sheets>
    <sheet name="APPLICATION" sheetId="4" r:id="rId1"/>
    <sheet name="python check" sheetId="10" r:id="rId2"/>
    <sheet name="VAR CONTROL" sheetId="3" r:id="rId3"/>
    <sheet name="DATA" sheetId="9" r:id="rId4"/>
    <sheet name="MODEL_SPECS =&gt;" sheetId="8" r:id="rId5"/>
    <sheet name="WIN.LOSS MODEL - F1" sheetId="1" r:id="rId6"/>
    <sheet name="WIN.TYPE MODEL - F1" sheetId="2" r:id="rId7"/>
    <sheet name="WIN.LOSS MODEL - F2" sheetId="5" r:id="rId8"/>
    <sheet name="WIN.TYPE MODEL - F2" sheetId="6" r:id="rId9"/>
  </sheets>
  <definedNames>
    <definedName name="_xlnm._FilterDatabase" localSheetId="3" hidden="1">DATA!$A$1:$L$1506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3" l="1"/>
  <c r="J8" i="10"/>
  <c r="K8" i="10"/>
  <c r="F7" i="3"/>
  <c r="J9" i="10"/>
  <c r="K9" i="10"/>
  <c r="F8" i="3"/>
  <c r="J10" i="10"/>
  <c r="K10" i="10"/>
  <c r="F9" i="3"/>
  <c r="J11" i="10"/>
  <c r="K11" i="10"/>
  <c r="F10" i="3"/>
  <c r="J12" i="10"/>
  <c r="K12" i="10"/>
  <c r="F11" i="3"/>
  <c r="J13" i="10"/>
  <c r="K13" i="10"/>
  <c r="F12" i="3"/>
  <c r="J14" i="10"/>
  <c r="K14" i="10"/>
  <c r="F13" i="3"/>
  <c r="J15" i="10"/>
  <c r="K15" i="10"/>
  <c r="F14" i="3"/>
  <c r="J16" i="10"/>
  <c r="K16" i="10"/>
  <c r="F15" i="3"/>
  <c r="J17" i="10"/>
  <c r="K17" i="10"/>
  <c r="G6" i="3"/>
  <c r="F16" i="3"/>
  <c r="J18" i="10"/>
  <c r="K18" i="10"/>
  <c r="G7" i="3"/>
  <c r="F17" i="3"/>
  <c r="J19" i="10"/>
  <c r="K19" i="10"/>
  <c r="G8" i="3"/>
  <c r="F18" i="3"/>
  <c r="J20" i="10"/>
  <c r="K20" i="10"/>
  <c r="G10" i="3"/>
  <c r="F19" i="3"/>
  <c r="J21" i="10"/>
  <c r="K21" i="10"/>
  <c r="G12" i="3"/>
  <c r="F20" i="3"/>
  <c r="J22" i="10"/>
  <c r="K22" i="10"/>
  <c r="G13" i="3"/>
  <c r="F21" i="3"/>
  <c r="J23" i="10"/>
  <c r="K23" i="10"/>
  <c r="G14" i="3"/>
  <c r="F22" i="3"/>
  <c r="J24" i="10"/>
  <c r="K24" i="10"/>
  <c r="G15" i="3"/>
  <c r="F23" i="3"/>
  <c r="J25" i="10"/>
  <c r="K25" i="10"/>
  <c r="G11" i="3"/>
  <c r="F24" i="3"/>
  <c r="J26" i="10"/>
  <c r="K26" i="10"/>
  <c r="G9" i="3"/>
  <c r="F25" i="3"/>
  <c r="J27" i="10"/>
  <c r="K27" i="10"/>
  <c r="F26" i="3"/>
  <c r="J28" i="10"/>
  <c r="K28" i="10"/>
  <c r="F4" i="3"/>
  <c r="J7" i="10"/>
  <c r="K7" i="10"/>
  <c r="K6" i="10"/>
  <c r="C6" i="10"/>
  <c r="G16" i="3"/>
  <c r="A45" i="6"/>
  <c r="J45" i="6"/>
  <c r="G17" i="3"/>
  <c r="A46" i="6"/>
  <c r="J46" i="6"/>
  <c r="G18" i="3"/>
  <c r="A47" i="6"/>
  <c r="J47" i="6"/>
  <c r="G19" i="3"/>
  <c r="A48" i="6"/>
  <c r="J48" i="6"/>
  <c r="G20" i="3"/>
  <c r="A49" i="6"/>
  <c r="J49" i="6"/>
  <c r="G21" i="3"/>
  <c r="A50" i="6"/>
  <c r="J50" i="6"/>
  <c r="G22" i="3"/>
  <c r="A51" i="6"/>
  <c r="J51" i="6"/>
  <c r="G23" i="3"/>
  <c r="A52" i="6"/>
  <c r="J52" i="6"/>
  <c r="G24" i="3"/>
  <c r="A53" i="6"/>
  <c r="J53" i="6"/>
  <c r="G25" i="3"/>
  <c r="A54" i="6"/>
  <c r="J54" i="6"/>
  <c r="A55" i="6"/>
  <c r="J55" i="6"/>
  <c r="G4" i="3"/>
  <c r="A33" i="6"/>
  <c r="J33" i="6"/>
  <c r="A34" i="6"/>
  <c r="J34" i="6"/>
  <c r="A35" i="6"/>
  <c r="J35" i="6"/>
  <c r="A36" i="6"/>
  <c r="J36" i="6"/>
  <c r="A37" i="6"/>
  <c r="J37" i="6"/>
  <c r="A38" i="6"/>
  <c r="J38" i="6"/>
  <c r="A39" i="6"/>
  <c r="J39" i="6"/>
  <c r="A40" i="6"/>
  <c r="J40" i="6"/>
  <c r="A41" i="6"/>
  <c r="J41" i="6"/>
  <c r="A42" i="6"/>
  <c r="J42" i="6"/>
  <c r="A43" i="6"/>
  <c r="J43" i="6"/>
  <c r="A44" i="6"/>
  <c r="J44" i="6"/>
  <c r="J56" i="6"/>
  <c r="J57" i="6"/>
  <c r="K45" i="6"/>
  <c r="K46" i="6"/>
  <c r="K47" i="6"/>
  <c r="K48" i="6"/>
  <c r="K49" i="6"/>
  <c r="K50" i="6"/>
  <c r="K51" i="6"/>
  <c r="K52" i="6"/>
  <c r="K53" i="6"/>
  <c r="K54" i="6"/>
  <c r="K55" i="6"/>
  <c r="K33" i="6"/>
  <c r="K34" i="6"/>
  <c r="K35" i="6"/>
  <c r="K36" i="6"/>
  <c r="K37" i="6"/>
  <c r="K38" i="6"/>
  <c r="K39" i="6"/>
  <c r="K40" i="6"/>
  <c r="K41" i="6"/>
  <c r="K42" i="6"/>
  <c r="K43" i="6"/>
  <c r="K44" i="6"/>
  <c r="K56" i="6"/>
  <c r="K57" i="6"/>
  <c r="I30" i="6"/>
  <c r="K30" i="6"/>
  <c r="H39" i="3"/>
  <c r="A1" i="4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33" i="6"/>
  <c r="O34" i="6"/>
  <c r="O56" i="6"/>
  <c r="O57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33" i="6"/>
  <c r="P34" i="6"/>
  <c r="P56" i="6"/>
  <c r="P57" i="6"/>
  <c r="N30" i="6"/>
  <c r="P30" i="6"/>
  <c r="H40" i="3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33" i="6"/>
  <c r="E34" i="6"/>
  <c r="E56" i="6"/>
  <c r="E57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33" i="6"/>
  <c r="F34" i="6"/>
  <c r="F56" i="6"/>
  <c r="F57" i="6"/>
  <c r="D30" i="6"/>
  <c r="F30" i="6"/>
  <c r="H38" i="3"/>
  <c r="I25" i="4"/>
  <c r="AA3" i="4"/>
  <c r="J30" i="6"/>
  <c r="G39" i="3"/>
  <c r="O30" i="6"/>
  <c r="G40" i="3"/>
  <c r="E30" i="6"/>
  <c r="G38" i="3"/>
  <c r="I24" i="4"/>
  <c r="Z3" i="4"/>
  <c r="F39" i="3"/>
  <c r="F40" i="3"/>
  <c r="F38" i="3"/>
  <c r="I23" i="4"/>
  <c r="Y3" i="4"/>
  <c r="A33" i="2"/>
  <c r="J33" i="2"/>
  <c r="A34" i="2"/>
  <c r="J34" i="2"/>
  <c r="A35" i="2"/>
  <c r="J35" i="2"/>
  <c r="A36" i="2"/>
  <c r="J36" i="2"/>
  <c r="A37" i="2"/>
  <c r="J37" i="2"/>
  <c r="A38" i="2"/>
  <c r="J38" i="2"/>
  <c r="A39" i="2"/>
  <c r="J39" i="2"/>
  <c r="A40" i="2"/>
  <c r="J40" i="2"/>
  <c r="A41" i="2"/>
  <c r="J41" i="2"/>
  <c r="A42" i="2"/>
  <c r="J42" i="2"/>
  <c r="A43" i="2"/>
  <c r="J43" i="2"/>
  <c r="A44" i="2"/>
  <c r="J44" i="2"/>
  <c r="A45" i="2"/>
  <c r="J45" i="2"/>
  <c r="A46" i="2"/>
  <c r="J46" i="2"/>
  <c r="A47" i="2"/>
  <c r="J47" i="2"/>
  <c r="A48" i="2"/>
  <c r="J48" i="2"/>
  <c r="A49" i="2"/>
  <c r="J49" i="2"/>
  <c r="A50" i="2"/>
  <c r="J50" i="2"/>
  <c r="A51" i="2"/>
  <c r="J51" i="2"/>
  <c r="A52" i="2"/>
  <c r="J52" i="2"/>
  <c r="A53" i="2"/>
  <c r="J53" i="2"/>
  <c r="A54" i="2"/>
  <c r="J54" i="2"/>
  <c r="A55" i="2"/>
  <c r="J55" i="2"/>
  <c r="J56" i="2"/>
  <c r="J57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I30" i="2"/>
  <c r="K30" i="2"/>
  <c r="H34" i="3"/>
  <c r="O45" i="2"/>
  <c r="O46" i="2"/>
  <c r="O47" i="2"/>
  <c r="O48" i="2"/>
  <c r="O49" i="2"/>
  <c r="O50" i="2"/>
  <c r="O51" i="2"/>
  <c r="O52" i="2"/>
  <c r="O53" i="2"/>
  <c r="O54" i="2"/>
  <c r="O33" i="2"/>
  <c r="O34" i="2"/>
  <c r="O35" i="2"/>
  <c r="O36" i="2"/>
  <c r="O37" i="2"/>
  <c r="O38" i="2"/>
  <c r="O39" i="2"/>
  <c r="O40" i="2"/>
  <c r="O41" i="2"/>
  <c r="O42" i="2"/>
  <c r="O43" i="2"/>
  <c r="O44" i="2"/>
  <c r="O55" i="2"/>
  <c r="O56" i="2"/>
  <c r="O57" i="2"/>
  <c r="P45" i="2"/>
  <c r="P46" i="2"/>
  <c r="P47" i="2"/>
  <c r="P48" i="2"/>
  <c r="P49" i="2"/>
  <c r="P50" i="2"/>
  <c r="P51" i="2"/>
  <c r="P52" i="2"/>
  <c r="P53" i="2"/>
  <c r="P54" i="2"/>
  <c r="P33" i="2"/>
  <c r="P34" i="2"/>
  <c r="P35" i="2"/>
  <c r="P36" i="2"/>
  <c r="P37" i="2"/>
  <c r="P38" i="2"/>
  <c r="P39" i="2"/>
  <c r="P40" i="2"/>
  <c r="P41" i="2"/>
  <c r="P42" i="2"/>
  <c r="P43" i="2"/>
  <c r="P44" i="2"/>
  <c r="P55" i="2"/>
  <c r="P56" i="2"/>
  <c r="P57" i="2"/>
  <c r="N30" i="2"/>
  <c r="P30" i="2"/>
  <c r="H35" i="3"/>
  <c r="E45" i="2"/>
  <c r="E46" i="2"/>
  <c r="E47" i="2"/>
  <c r="E48" i="2"/>
  <c r="E49" i="2"/>
  <c r="E50" i="2"/>
  <c r="E51" i="2"/>
  <c r="E52" i="2"/>
  <c r="E53" i="2"/>
  <c r="E54" i="2"/>
  <c r="E33" i="2"/>
  <c r="E34" i="2"/>
  <c r="E35" i="2"/>
  <c r="E36" i="2"/>
  <c r="E37" i="2"/>
  <c r="E38" i="2"/>
  <c r="E39" i="2"/>
  <c r="E40" i="2"/>
  <c r="E41" i="2"/>
  <c r="E42" i="2"/>
  <c r="E43" i="2"/>
  <c r="E44" i="2"/>
  <c r="E55" i="2"/>
  <c r="E56" i="2"/>
  <c r="E57" i="2"/>
  <c r="F45" i="2"/>
  <c r="F46" i="2"/>
  <c r="F47" i="2"/>
  <c r="F48" i="2"/>
  <c r="F49" i="2"/>
  <c r="F50" i="2"/>
  <c r="F51" i="2"/>
  <c r="F52" i="2"/>
  <c r="F53" i="2"/>
  <c r="F54" i="2"/>
  <c r="F33" i="2"/>
  <c r="F34" i="2"/>
  <c r="F35" i="2"/>
  <c r="F36" i="2"/>
  <c r="F37" i="2"/>
  <c r="F38" i="2"/>
  <c r="F39" i="2"/>
  <c r="F40" i="2"/>
  <c r="F41" i="2"/>
  <c r="F42" i="2"/>
  <c r="F43" i="2"/>
  <c r="F44" i="2"/>
  <c r="F55" i="2"/>
  <c r="F56" i="2"/>
  <c r="F57" i="2"/>
  <c r="D30" i="2"/>
  <c r="F30" i="2"/>
  <c r="H33" i="3"/>
  <c r="E25" i="4"/>
  <c r="X3" i="4"/>
  <c r="J30" i="2"/>
  <c r="G34" i="3"/>
  <c r="O30" i="2"/>
  <c r="G35" i="3"/>
  <c r="E30" i="2"/>
  <c r="G33" i="3"/>
  <c r="E24" i="4"/>
  <c r="W3" i="4"/>
  <c r="F34" i="3"/>
  <c r="F35" i="3"/>
  <c r="F33" i="3"/>
  <c r="E23" i="4"/>
  <c r="V3" i="4"/>
  <c r="E5" i="5"/>
  <c r="K5" i="5"/>
  <c r="L5" i="5"/>
  <c r="E6" i="5"/>
  <c r="K6" i="5"/>
  <c r="L6" i="5"/>
  <c r="E7" i="5"/>
  <c r="K7" i="5"/>
  <c r="L7" i="5"/>
  <c r="E8" i="5"/>
  <c r="K8" i="5"/>
  <c r="L8" i="5"/>
  <c r="E9" i="5"/>
  <c r="K9" i="5"/>
  <c r="L9" i="5"/>
  <c r="E10" i="5"/>
  <c r="K10" i="5"/>
  <c r="L10" i="5"/>
  <c r="E11" i="5"/>
  <c r="K11" i="5"/>
  <c r="L11" i="5"/>
  <c r="E12" i="5"/>
  <c r="K12" i="5"/>
  <c r="L12" i="5"/>
  <c r="E13" i="5"/>
  <c r="K13" i="5"/>
  <c r="L13" i="5"/>
  <c r="E14" i="5"/>
  <c r="K14" i="5"/>
  <c r="L14" i="5"/>
  <c r="L15" i="5"/>
  <c r="L16" i="5"/>
  <c r="L17" i="5"/>
  <c r="I29" i="3"/>
  <c r="E5" i="1"/>
  <c r="K5" i="1"/>
  <c r="L5" i="1"/>
  <c r="E6" i="1"/>
  <c r="K6" i="1"/>
  <c r="L6" i="1"/>
  <c r="E7" i="1"/>
  <c r="K7" i="1"/>
  <c r="L7" i="1"/>
  <c r="E8" i="1"/>
  <c r="K8" i="1"/>
  <c r="L8" i="1"/>
  <c r="E9" i="1"/>
  <c r="K9" i="1"/>
  <c r="L9" i="1"/>
  <c r="E10" i="1"/>
  <c r="K10" i="1"/>
  <c r="L10" i="1"/>
  <c r="E11" i="1"/>
  <c r="K11" i="1"/>
  <c r="L11" i="1"/>
  <c r="E12" i="1"/>
  <c r="K12" i="1"/>
  <c r="L12" i="1"/>
  <c r="E13" i="1"/>
  <c r="K13" i="1"/>
  <c r="L13" i="1"/>
  <c r="E14" i="1"/>
  <c r="K14" i="1"/>
  <c r="L14" i="1"/>
  <c r="L15" i="1"/>
  <c r="L16" i="1"/>
  <c r="L17" i="1"/>
  <c r="H29" i="3"/>
  <c r="G29" i="3"/>
  <c r="Q5" i="5"/>
  <c r="R5" i="5"/>
  <c r="Q6" i="5"/>
  <c r="R6" i="5"/>
  <c r="Q7" i="5"/>
  <c r="R7" i="5"/>
  <c r="Q8" i="5"/>
  <c r="R8" i="5"/>
  <c r="Q9" i="5"/>
  <c r="R9" i="5"/>
  <c r="Q10" i="5"/>
  <c r="R10" i="5"/>
  <c r="Q11" i="5"/>
  <c r="R11" i="5"/>
  <c r="Q12" i="5"/>
  <c r="R12" i="5"/>
  <c r="Q13" i="5"/>
  <c r="R13" i="5"/>
  <c r="Q14" i="5"/>
  <c r="R14" i="5"/>
  <c r="R15" i="5"/>
  <c r="R16" i="5"/>
  <c r="R17" i="5"/>
  <c r="I30" i="3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R15" i="1"/>
  <c r="R16" i="1"/>
  <c r="R17" i="1"/>
  <c r="H30" i="3"/>
  <c r="G30" i="3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I28" i="3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H28" i="3"/>
  <c r="G28" i="3"/>
  <c r="I21" i="4"/>
  <c r="U3" i="4"/>
  <c r="F29" i="3"/>
  <c r="F30" i="3"/>
  <c r="F28" i="3"/>
  <c r="E21" i="4"/>
  <c r="T3" i="4"/>
  <c r="M19" i="4"/>
  <c r="G26" i="3"/>
  <c r="M18" i="4"/>
  <c r="M17" i="4"/>
  <c r="M16" i="4"/>
  <c r="M15" i="4"/>
  <c r="M14" i="4"/>
  <c r="M13" i="4"/>
  <c r="M12" i="4"/>
  <c r="M11" i="4"/>
  <c r="M10" i="4"/>
  <c r="M9" i="4"/>
  <c r="P25" i="5"/>
  <c r="J25" i="5"/>
  <c r="D25" i="5"/>
  <c r="P24" i="5"/>
  <c r="J24" i="5"/>
  <c r="D24" i="5"/>
  <c r="P23" i="5"/>
  <c r="J23" i="5"/>
  <c r="D23" i="5"/>
  <c r="R4" i="5"/>
  <c r="L4" i="5"/>
  <c r="F4" i="5"/>
  <c r="P25" i="1"/>
  <c r="P24" i="1"/>
  <c r="P23" i="1"/>
  <c r="R4" i="1"/>
  <c r="J25" i="1"/>
  <c r="J24" i="1"/>
  <c r="J23" i="1"/>
  <c r="L4" i="1"/>
  <c r="D25" i="1"/>
  <c r="D24" i="1"/>
  <c r="D23" i="1"/>
  <c r="F4" i="1"/>
</calcChain>
</file>

<file path=xl/sharedStrings.xml><?xml version="1.0" encoding="utf-8"?>
<sst xmlns="http://schemas.openxmlformats.org/spreadsheetml/2006/main" count="2270" uniqueCount="1607">
  <si>
    <t>HEIGHT_DIFF</t>
  </si>
  <si>
    <t>EXP_DIFF</t>
  </si>
  <si>
    <t>STRAVG_AT_FIGHT_DIFF</t>
  </si>
  <si>
    <t>PASSAVG_AT_FIGHT_DIFF</t>
  </si>
  <si>
    <t>WINRATIO_DIFF</t>
  </si>
  <si>
    <t>REACH_DIFF1</t>
  </si>
  <si>
    <t>INTERCEPT_</t>
  </si>
  <si>
    <t>AGE_DIFF</t>
  </si>
  <si>
    <t>WEIGHT_DIFF</t>
  </si>
  <si>
    <t>TDAVG_AT_FIGHT_DIFF</t>
  </si>
  <si>
    <t>SUBAVG_AT_FIGHT_DIFF</t>
  </si>
  <si>
    <t>"LIGHT" MODEL</t>
  </si>
  <si>
    <t>COEF_</t>
  </si>
  <si>
    <t>COEF_*INPUT</t>
  </si>
  <si>
    <t>SUM</t>
  </si>
  <si>
    <t>PROB</t>
  </si>
  <si>
    <t>EXP(SUM) = ODDs</t>
  </si>
  <si>
    <t>Evaluation</t>
  </si>
  <si>
    <t>Accuracy</t>
  </si>
  <si>
    <t>Sensitivity</t>
  </si>
  <si>
    <t>Specificity</t>
  </si>
  <si>
    <t>"MIDDLE" MODEL</t>
  </si>
  <si>
    <t>"HEAVY" MODEL</t>
  </si>
  <si>
    <t>INPUT</t>
  </si>
  <si>
    <t>WIN METHOD MODEL</t>
  </si>
  <si>
    <t>Decision = 0</t>
  </si>
  <si>
    <t>TKO/KO = 1</t>
  </si>
  <si>
    <t>Submission = 2</t>
  </si>
  <si>
    <t>MID</t>
  </si>
  <si>
    <t>TOTAL_INSECONDS</t>
  </si>
  <si>
    <t>AGE_AT_FIGHT</t>
  </si>
  <si>
    <t>HEIGHT_CM</t>
  </si>
  <si>
    <t>REACH_INCH1</t>
  </si>
  <si>
    <t>TOTAL_AT_FIGHT</t>
  </si>
  <si>
    <t>STRAVG_AT_FIGHT</t>
  </si>
  <si>
    <t>TDAVG_AT_FIGHT</t>
  </si>
  <si>
    <t>SUBAVG_AT_FIGHT</t>
  </si>
  <si>
    <t>PASSAVG_AT_FIGHT</t>
  </si>
  <si>
    <t>Description</t>
  </si>
  <si>
    <t>Difference of Ages</t>
  </si>
  <si>
    <t>Difference in Height (cm)</t>
  </si>
  <si>
    <t>Difference in Weight (kg)</t>
  </si>
  <si>
    <t>Difference in the number of fights</t>
  </si>
  <si>
    <t>Difference in average strikes per fight</t>
  </si>
  <si>
    <t>Difference in average takedowns per fight</t>
  </si>
  <si>
    <t>Difference in average submissions per fight</t>
  </si>
  <si>
    <t>Difference in average passes per fight</t>
  </si>
  <si>
    <t>Difference in win ratio</t>
  </si>
  <si>
    <t>Difference in Reach (inch)</t>
  </si>
  <si>
    <t>WIN/NOT WIN MODEL</t>
  </si>
  <si>
    <t>WEIGHT_KG</t>
  </si>
  <si>
    <t>WINRATIO_AT_FIGHT</t>
  </si>
  <si>
    <t>Input Vector</t>
  </si>
  <si>
    <t>Prob = 0</t>
  </si>
  <si>
    <t>Prob = 1</t>
  </si>
  <si>
    <t>Prob = 2</t>
  </si>
  <si>
    <t>FIGHTER 1</t>
  </si>
  <si>
    <t>FIGHTER 2</t>
  </si>
  <si>
    <t>Order of Fight</t>
  </si>
  <si>
    <t>Duration of Fight (Seconds)</t>
  </si>
  <si>
    <t>Age of the Fighter</t>
  </si>
  <si>
    <t>Weight of the Fighter (kg)</t>
  </si>
  <si>
    <t>Height of the Fighter (cm)</t>
  </si>
  <si>
    <t>Reach of the Fighter (inch)</t>
  </si>
  <si>
    <t>Win Ratio of the Fighter (%)</t>
  </si>
  <si>
    <t>No. of fights the fighter has fought</t>
  </si>
  <si>
    <t>Average strikes per fight</t>
  </si>
  <si>
    <t>Average takedowns per fight</t>
  </si>
  <si>
    <t>Average submissions per fight</t>
  </si>
  <si>
    <t>Average passes per fight</t>
  </si>
  <si>
    <t>Prob Win</t>
  </si>
  <si>
    <t>Light</t>
  </si>
  <si>
    <t>Middle</t>
  </si>
  <si>
    <t>Heavy</t>
  </si>
  <si>
    <t>Win Type</t>
  </si>
  <si>
    <t>Decision</t>
  </si>
  <si>
    <t>TKO/KO</t>
  </si>
  <si>
    <t>Submission</t>
  </si>
  <si>
    <t>Fighter 1</t>
  </si>
  <si>
    <t>Fighter 2</t>
  </si>
  <si>
    <t>Flyweight</t>
  </si>
  <si>
    <t>Bantamweight</t>
  </si>
  <si>
    <t>Featherweight</t>
  </si>
  <si>
    <t>Lightweight</t>
  </si>
  <si>
    <t>Welterweight</t>
  </si>
  <si>
    <t>Middleweight</t>
  </si>
  <si>
    <t>Light Heavyweight</t>
  </si>
  <si>
    <t>Heavyweight</t>
  </si>
  <si>
    <t>Probability of Winning</t>
  </si>
  <si>
    <t>Probability of Win Type</t>
  </si>
  <si>
    <t>Full Name</t>
  </si>
  <si>
    <t>Aaron Brink</t>
  </si>
  <si>
    <t>Aaron Phillips</t>
  </si>
  <si>
    <t>Aaron Riley</t>
  </si>
  <si>
    <t>Aaron Rosa</t>
  </si>
  <si>
    <t>Aaron Simpson</t>
  </si>
  <si>
    <t>Aaron Wilkinson</t>
  </si>
  <si>
    <t>Abel Trujillo</t>
  </si>
  <si>
    <t>Abner Lloveras</t>
  </si>
  <si>
    <t>Adam Cella</t>
  </si>
  <si>
    <t>Adlan Amagov</t>
  </si>
  <si>
    <t>Adriano Martins</t>
  </si>
  <si>
    <t>Aisling Daly</t>
  </si>
  <si>
    <t>Akbarh Arreola</t>
  </si>
  <si>
    <t>Akihiro Gono</t>
  </si>
  <si>
    <t>Akira Corassani</t>
  </si>
  <si>
    <t>Al Iaquinta</t>
  </si>
  <si>
    <t>Alan Belcher</t>
  </si>
  <si>
    <t>Alan Jouban</t>
  </si>
  <si>
    <t>Alan Omer</t>
  </si>
  <si>
    <t>Alan Patrick Silva Alves</t>
  </si>
  <si>
    <t>Albert Cheng</t>
  </si>
  <si>
    <t>Albert Tumenov</t>
  </si>
  <si>
    <t>Alberto Cerra Leon</t>
  </si>
  <si>
    <t>Alberto Crane</t>
  </si>
  <si>
    <t>Alberto Mina</t>
  </si>
  <si>
    <t>Alejandro Perez</t>
  </si>
  <si>
    <t>Aleksandra Albu</t>
  </si>
  <si>
    <t>Alessio Sakara</t>
  </si>
  <si>
    <t>Alex Andrade</t>
  </si>
  <si>
    <t>Alex Caceres</t>
  </si>
  <si>
    <t>Alex Chambers</t>
  </si>
  <si>
    <t>Alex Garcia</t>
  </si>
  <si>
    <t>Alex Hunter</t>
  </si>
  <si>
    <t>Alex Karalexis</t>
  </si>
  <si>
    <t>Alex Morono</t>
  </si>
  <si>
    <t>Alex Nicholson</t>
  </si>
  <si>
    <t>Alex Oliveira</t>
  </si>
  <si>
    <t>Alex Schoenauer</t>
  </si>
  <si>
    <t>Alex Soto</t>
  </si>
  <si>
    <t>Alex Stiebling</t>
  </si>
  <si>
    <t>Alex Torres</t>
  </si>
  <si>
    <t>Alex White</t>
  </si>
  <si>
    <t>Alexander Gustafsson</t>
  </si>
  <si>
    <t>Alexander Yakovlev</t>
  </si>
  <si>
    <t>Alexandre Barros</t>
  </si>
  <si>
    <t>Alexandre Dantas</t>
  </si>
  <si>
    <t>Alexandre Ferreira</t>
  </si>
  <si>
    <t>Alexis Davis</t>
  </si>
  <si>
    <t>Alexis Dufresne</t>
  </si>
  <si>
    <t>Alfonso Alcarez</t>
  </si>
  <si>
    <t>Ali Bagautinov</t>
  </si>
  <si>
    <t>Alistair Overeem</t>
  </si>
  <si>
    <t>Aljamain Sterling</t>
  </si>
  <si>
    <t>Allan Goes</t>
  </si>
  <si>
    <t>Allen Berube</t>
  </si>
  <si>
    <t>Alptekin Ozkilic</t>
  </si>
  <si>
    <t>Alvaro Herrera</t>
  </si>
  <si>
    <t>Alvin Robinson</t>
  </si>
  <si>
    <t>Amanda Nunes</t>
  </si>
  <si>
    <t>Amar Suloev</t>
  </si>
  <si>
    <t>Amaury Bitetti</t>
  </si>
  <si>
    <t>Amilcar Alves</t>
  </si>
  <si>
    <t>Amir Sadollah</t>
  </si>
  <si>
    <t>Anderson Silva</t>
  </si>
  <si>
    <t>Andre Fili</t>
  </si>
  <si>
    <t>Andre Gusmao</t>
  </si>
  <si>
    <t>Andre Pederneiras</t>
  </si>
  <si>
    <t>Andre Roberts</t>
  </si>
  <si>
    <t>Andre Winner</t>
  </si>
  <si>
    <t>Andreas Stahl</t>
  </si>
  <si>
    <t>Andrei Arlovski</t>
  </si>
  <si>
    <t>Andrei Semenov</t>
  </si>
  <si>
    <t>Andrew Craig</t>
  </si>
  <si>
    <t>Andrew Holbrook</t>
  </si>
  <si>
    <t>Andy Anderson</t>
  </si>
  <si>
    <t>Andy Enz</t>
  </si>
  <si>
    <t>Andy Ogle</t>
  </si>
  <si>
    <t>Andy Wang</t>
  </si>
  <si>
    <t>Angela Hill</t>
  </si>
  <si>
    <t>Angela Magana</t>
  </si>
  <si>
    <t>Ansar Chalangov</t>
  </si>
  <si>
    <t>Anthony Birchak</t>
  </si>
  <si>
    <t>Anthony Christodoulou</t>
  </si>
  <si>
    <t>Anthony Hamilton</t>
  </si>
  <si>
    <t>Anthony Johnson</t>
  </si>
  <si>
    <t>Anthony Lapsley</t>
  </si>
  <si>
    <t>Anthony Macias</t>
  </si>
  <si>
    <t>Anthony Njokuani</t>
  </si>
  <si>
    <t>Anthony Perosh</t>
  </si>
  <si>
    <t>Anthony Pettis</t>
  </si>
  <si>
    <t>Anthony Smith</t>
  </si>
  <si>
    <t>Anthony Torres</t>
  </si>
  <si>
    <t>Anton Kuivanen</t>
  </si>
  <si>
    <t>Anton Zafir</t>
  </si>
  <si>
    <t>Antoni Hardonk</t>
  </si>
  <si>
    <t>Antonio Banuelos</t>
  </si>
  <si>
    <t>Antonio Braga Neto</t>
  </si>
  <si>
    <t>Antonio Carlos Jr.</t>
  </si>
  <si>
    <t>Antonio Carvalho</t>
  </si>
  <si>
    <t>Antonio McKee</t>
  </si>
  <si>
    <t>Antonio Mendes</t>
  </si>
  <si>
    <t>Antonio Rogerio Nogueira</t>
  </si>
  <si>
    <t>Antonio Silva</t>
  </si>
  <si>
    <t>Arnold Allen</t>
  </si>
  <si>
    <t>Art Jimmerson</t>
  </si>
  <si>
    <t>Artem Lobov</t>
  </si>
  <si>
    <t>Asbel Cancio</t>
  </si>
  <si>
    <t>Ashlee Evans-Smith</t>
  </si>
  <si>
    <t>Assuerio Silva</t>
  </si>
  <si>
    <t>Augusto Mendes</t>
  </si>
  <si>
    <t>Augusto Montano</t>
  </si>
  <si>
    <t>Azamat Gashimov</t>
  </si>
  <si>
    <t>Bart Palaszewski</t>
  </si>
  <si>
    <t>Bartosz Fabinski</t>
  </si>
  <si>
    <t>Bas Rutten</t>
  </si>
  <si>
    <t>Bec Rawlings</t>
  </si>
  <si>
    <t>Ben Alloway</t>
  </si>
  <si>
    <t>Ben Earwood</t>
  </si>
  <si>
    <t>Ben Nguyen</t>
  </si>
  <si>
    <t>Ben Rothwell</t>
  </si>
  <si>
    <t>Ben Saunders</t>
  </si>
  <si>
    <t>Ben Wall</t>
  </si>
  <si>
    <t>Beneil Dariush</t>
  </si>
  <si>
    <t>Benji Radach</t>
  </si>
  <si>
    <t>Benson Henderson</t>
  </si>
  <si>
    <t>Bentley Syler</t>
  </si>
  <si>
    <t>Bernardo Magalhaes</t>
  </si>
  <si>
    <t>Besam Yousef</t>
  </si>
  <si>
    <t>Bethe Correia</t>
  </si>
  <si>
    <t>Bill Mahood</t>
  </si>
  <si>
    <t>Billy Miles</t>
  </si>
  <si>
    <t>Bob Cook</t>
  </si>
  <si>
    <t>Bob Gilstrap</t>
  </si>
  <si>
    <t>Bobby Green</t>
  </si>
  <si>
    <t>Bobby Hoffman</t>
  </si>
  <si>
    <t>Bobby Southworth</t>
  </si>
  <si>
    <t>Bobby Voelker</t>
  </si>
  <si>
    <t>Brad Blackburn</t>
  </si>
  <si>
    <t>Brad Gumm</t>
  </si>
  <si>
    <t>Brad Imes</t>
  </si>
  <si>
    <t>Brad Kohler</t>
  </si>
  <si>
    <t>Brad Morris</t>
  </si>
  <si>
    <t>Brad Pickett</t>
  </si>
  <si>
    <t>Brad Tavares</t>
  </si>
  <si>
    <t>Bradley Scott</t>
  </si>
  <si>
    <t>Branden Lee Hinkle</t>
  </si>
  <si>
    <t>Brandon Melendez</t>
  </si>
  <si>
    <t>Brandon Thatch</t>
  </si>
  <si>
    <t>Brandon Vera</t>
  </si>
  <si>
    <t>Brandon Wolff</t>
  </si>
  <si>
    <t>Brendan Loughnane</t>
  </si>
  <si>
    <t>Brendan O'Reilly</t>
  </si>
  <si>
    <t>Brendan Schaub</t>
  </si>
  <si>
    <t>Brian Bowles</t>
  </si>
  <si>
    <t>Brian Cobb</t>
  </si>
  <si>
    <t>Brian Ebersole</t>
  </si>
  <si>
    <t>Brian Foster</t>
  </si>
  <si>
    <t>Brian Gassaway</t>
  </si>
  <si>
    <t>Brian Geraghty</t>
  </si>
  <si>
    <t>Brian Houston</t>
  </si>
  <si>
    <t>Brian Johnston</t>
  </si>
  <si>
    <t>Brian Melancon</t>
  </si>
  <si>
    <t>Brian Ortega</t>
  </si>
  <si>
    <t>Brian Stann</t>
  </si>
  <si>
    <t>Bristol Marunde</t>
  </si>
  <si>
    <t>Brock Jardine</t>
  </si>
  <si>
    <t>Brock Larson</t>
  </si>
  <si>
    <t>Brock Lesnar</t>
  </si>
  <si>
    <t>Brodie Farber</t>
  </si>
  <si>
    <t>Bruno Rodrigues</t>
  </si>
  <si>
    <t>Bruno Santos</t>
  </si>
  <si>
    <t>Bryan Barberena</t>
  </si>
  <si>
    <t>Bryan Caraway</t>
  </si>
  <si>
    <t>Bubba Bush</t>
  </si>
  <si>
    <t>Bubba McDaniel</t>
  </si>
  <si>
    <t>Buddy Roberts</t>
  </si>
  <si>
    <t>Byron Bloodworth</t>
  </si>
  <si>
    <t>Cain Carrizosa</t>
  </si>
  <si>
    <t>Cain Velasquez</t>
  </si>
  <si>
    <t>Caio Magalhaes</t>
  </si>
  <si>
    <t>Cal Worsham</t>
  </si>
  <si>
    <t>Cale Yarbrough</t>
  </si>
  <si>
    <t>Cameron Dollar</t>
  </si>
  <si>
    <t>Caol Uno</t>
  </si>
  <si>
    <t>Carla Esparza</t>
  </si>
  <si>
    <t>Carlo Prater</t>
  </si>
  <si>
    <t>Carlos Augusto Inocente Filho</t>
  </si>
  <si>
    <t>Carlos Barreto</t>
  </si>
  <si>
    <t>Carlos Condit</t>
  </si>
  <si>
    <t>Carlos Diego Ferreira</t>
  </si>
  <si>
    <t>Carlos Eduardo Rocha</t>
  </si>
  <si>
    <t>Carlos Newton</t>
  </si>
  <si>
    <t>Carmelo Marrero</t>
  </si>
  <si>
    <t>Caros Fodor</t>
  </si>
  <si>
    <t>Cat Zingano</t>
  </si>
  <si>
    <t>Cathal Pendred</t>
  </si>
  <si>
    <t>Cesar Arzamendia</t>
  </si>
  <si>
    <t>Cezar Ferreira</t>
  </si>
  <si>
    <t>Chad Griggs</t>
  </si>
  <si>
    <t>Chad Laprise</t>
  </si>
  <si>
    <t>Chad Mendes</t>
  </si>
  <si>
    <t>Chad Reiner</t>
  </si>
  <si>
    <t>Chael Sonnen</t>
  </si>
  <si>
    <t>Chan Sung Jung</t>
  </si>
  <si>
    <t>Charles McCarthy</t>
  </si>
  <si>
    <t>Charles Oliveira</t>
  </si>
  <si>
    <t>Charles Rosa</t>
  </si>
  <si>
    <t>Charlie Brenneman</t>
  </si>
  <si>
    <t>Charlie Valencia</t>
  </si>
  <si>
    <t>Chas Skelly</t>
  </si>
  <si>
    <t>Chase Gormley</t>
  </si>
  <si>
    <t>Che Mills</t>
  </si>
  <si>
    <t>Cheick Kongo</t>
  </si>
  <si>
    <t>Chico Camus</t>
  </si>
  <si>
    <t>Chris Beal</t>
  </si>
  <si>
    <t>Chris Brennan</t>
  </si>
  <si>
    <t>Chris Camozzi</t>
  </si>
  <si>
    <t>Chris Cariaso</t>
  </si>
  <si>
    <t>Chris Clements</t>
  </si>
  <si>
    <t>Chris Condo</t>
  </si>
  <si>
    <t>Chris Cope</t>
  </si>
  <si>
    <t>Chris de la Rocha</t>
  </si>
  <si>
    <t>Chris Dempsey</t>
  </si>
  <si>
    <t>Chris Gruetzemacher</t>
  </si>
  <si>
    <t>Chris Haseman</t>
  </si>
  <si>
    <t>Chris Heatherly</t>
  </si>
  <si>
    <t>Chris Holdsworth</t>
  </si>
  <si>
    <t>Chris Indich</t>
  </si>
  <si>
    <t>Chris Kelades</t>
  </si>
  <si>
    <t>Chris Leben</t>
  </si>
  <si>
    <t>Chris Liguori</t>
  </si>
  <si>
    <t>Chris Lytle</t>
  </si>
  <si>
    <t>Chris Price</t>
  </si>
  <si>
    <t>Chris Sanford</t>
  </si>
  <si>
    <t>Chris Saunders</t>
  </si>
  <si>
    <t>Chris Spang</t>
  </si>
  <si>
    <t>Chris Tickle</t>
  </si>
  <si>
    <t>Chris Tuchscherer</t>
  </si>
  <si>
    <t>Chris Wade</t>
  </si>
  <si>
    <t>Chris Weidman</t>
  </si>
  <si>
    <t>Chris Wilson</t>
  </si>
  <si>
    <t>Christian Morecraft</t>
  </si>
  <si>
    <t>Christian Wellisch</t>
  </si>
  <si>
    <t>Christophe Leninger</t>
  </si>
  <si>
    <t>Christos Giagos</t>
  </si>
  <si>
    <t>Chuck Liddell</t>
  </si>
  <si>
    <t>Chuck O'Neil</t>
  </si>
  <si>
    <t>CJ Fernandes</t>
  </si>
  <si>
    <t>Claude Patrick</t>
  </si>
  <si>
    <t>Claudia Gadelha</t>
  </si>
  <si>
    <t>Clay Collard</t>
  </si>
  <si>
    <t>Clay Guida</t>
  </si>
  <si>
    <t>Clay Harvison</t>
  </si>
  <si>
    <t>Clifford Starks</t>
  </si>
  <si>
    <t>Clint Hester</t>
  </si>
  <si>
    <t>Cody Donovan</t>
  </si>
  <si>
    <t>Cody Garbrandt</t>
  </si>
  <si>
    <t>Cody Gibson</t>
  </si>
  <si>
    <t>Cody McKenzie</t>
  </si>
  <si>
    <t>Cody Pfister</t>
  </si>
  <si>
    <t>Colby Covington</t>
  </si>
  <si>
    <t>Cole Escovedo</t>
  </si>
  <si>
    <t>Cole Miller</t>
  </si>
  <si>
    <t>Colin Fletcher</t>
  </si>
  <si>
    <t>Colin Robinson</t>
  </si>
  <si>
    <t>Collin Hart</t>
  </si>
  <si>
    <t>Colton Smith</t>
  </si>
  <si>
    <t>Conor McGregor</t>
  </si>
  <si>
    <t>Corey Anderson</t>
  </si>
  <si>
    <t>Corey Hill</t>
  </si>
  <si>
    <t>Cortney Casey</t>
  </si>
  <si>
    <t>Cory Walmsley</t>
  </si>
  <si>
    <t>Costas Philippou</t>
  </si>
  <si>
    <t>Court McGee</t>
  </si>
  <si>
    <t>Crafton Wallace</t>
  </si>
  <si>
    <t>Cristiano Marcello</t>
  </si>
  <si>
    <t>Cub Swanson</t>
  </si>
  <si>
    <t>Cung Le</t>
  </si>
  <si>
    <t>Curt Warburton</t>
  </si>
  <si>
    <t>Curtis Stout</t>
  </si>
  <si>
    <t>Cyrille Diabate</t>
  </si>
  <si>
    <t>Daiju Takase</t>
  </si>
  <si>
    <t>Dale Hartt</t>
  </si>
  <si>
    <t>Damacio Page</t>
  </si>
  <si>
    <t>DaMarques Johnson</t>
  </si>
  <si>
    <t>Damian Grabowski</t>
  </si>
  <si>
    <t>Damian Stasiak</t>
  </si>
  <si>
    <t>Damon Jackson</t>
  </si>
  <si>
    <t>Dan Bobish</t>
  </si>
  <si>
    <t>Dan Christison</t>
  </si>
  <si>
    <t>Dan Cramer</t>
  </si>
  <si>
    <t>Dan Evensen</t>
  </si>
  <si>
    <t>Dan Hardy</t>
  </si>
  <si>
    <t>Dan Henderson</t>
  </si>
  <si>
    <t>Dan Lauzon</t>
  </si>
  <si>
    <t>Dan Miller</t>
  </si>
  <si>
    <t>Dan Severn</t>
  </si>
  <si>
    <t>Daniel Barrera</t>
  </si>
  <si>
    <t>Daniel Cormier</t>
  </si>
  <si>
    <t>Daniel Downes</t>
  </si>
  <si>
    <t>Daniel Hooker</t>
  </si>
  <si>
    <t>Daniel Jolly</t>
  </si>
  <si>
    <t>Daniel Kelly</t>
  </si>
  <si>
    <t>Daniel Omielanczuk</t>
  </si>
  <si>
    <t>Daniel Pineda</t>
  </si>
  <si>
    <t>Daniel Roberts</t>
  </si>
  <si>
    <t>Daniel Sarafian</t>
  </si>
  <si>
    <t>Daniel Stittgen</t>
  </si>
  <si>
    <t>Danillo Villefort</t>
  </si>
  <si>
    <t>Danny Abbadi</t>
  </si>
  <si>
    <t>Danny Castillo</t>
  </si>
  <si>
    <t>Danny Martinez</t>
  </si>
  <si>
    <t>Danny Mitchell</t>
  </si>
  <si>
    <t>Danny Roberts</t>
  </si>
  <si>
    <t>Dante Rivera</t>
  </si>
  <si>
    <t>Daron Cruickshank</t>
  </si>
  <si>
    <t>Darrell Gholar</t>
  </si>
  <si>
    <t>Darrell Montague</t>
  </si>
  <si>
    <t>Darren Elkins</t>
  </si>
  <si>
    <t>Darren Till</t>
  </si>
  <si>
    <t>Darren Uyenoyama</t>
  </si>
  <si>
    <t>Darrill Schoonover</t>
  </si>
  <si>
    <t>Dashon Johnson</t>
  </si>
  <si>
    <t>Dave Beneteau</t>
  </si>
  <si>
    <t>Dave Galera</t>
  </si>
  <si>
    <t>Dave Herman</t>
  </si>
  <si>
    <t>Dave Menne</t>
  </si>
  <si>
    <t>Dave Roberts</t>
  </si>
  <si>
    <t>Dave Strasser</t>
  </si>
  <si>
    <t>Davey Grant</t>
  </si>
  <si>
    <t>David Abbott</t>
  </si>
  <si>
    <t>David Baron</t>
  </si>
  <si>
    <t>David Bielkheden</t>
  </si>
  <si>
    <t>David Branch</t>
  </si>
  <si>
    <t>David Dodd</t>
  </si>
  <si>
    <t>David Heath</t>
  </si>
  <si>
    <t>David Hood</t>
  </si>
  <si>
    <t>David Kaplan</t>
  </si>
  <si>
    <t>David Lee</t>
  </si>
  <si>
    <t>David Levicki</t>
  </si>
  <si>
    <t>David Loiseau</t>
  </si>
  <si>
    <t>David Michaud</t>
  </si>
  <si>
    <t>David Mitchell</t>
  </si>
  <si>
    <t>David Terrell</t>
  </si>
  <si>
    <t>David Velasquez</t>
  </si>
  <si>
    <t>Dean Lister</t>
  </si>
  <si>
    <t>Delson Heleno</t>
  </si>
  <si>
    <t>Demetrious Johnson</t>
  </si>
  <si>
    <t>Demian Maia</t>
  </si>
  <si>
    <t>Denis Kang</t>
  </si>
  <si>
    <t>Denis Stojnic</t>
  </si>
  <si>
    <t>Dennis Bermudez</t>
  </si>
  <si>
    <t>Dennis Hallman</t>
  </si>
  <si>
    <t>Dennis Siver</t>
  </si>
  <si>
    <t>Derek Brunson</t>
  </si>
  <si>
    <t>Derek Downey</t>
  </si>
  <si>
    <t>Derrick Lewis</t>
  </si>
  <si>
    <t>Derrick Noble</t>
  </si>
  <si>
    <t>Dhiego Lima</t>
  </si>
  <si>
    <t>Diego Brandao</t>
  </si>
  <si>
    <t>Diego Nunes</t>
  </si>
  <si>
    <t>Diego Rivas</t>
  </si>
  <si>
    <t>Diego Sanchez</t>
  </si>
  <si>
    <t>Diego Saraiva</t>
  </si>
  <si>
    <t>Dieuseul Berto</t>
  </si>
  <si>
    <t>Dileno Lopes</t>
  </si>
  <si>
    <t>Din Thomas</t>
  </si>
  <si>
    <t>Dmitri Stepanov</t>
  </si>
  <si>
    <t>Dokonjonosuke Mishima</t>
  </si>
  <si>
    <t>Dominic Waters</t>
  </si>
  <si>
    <t>Dominick Cruz</t>
  </si>
  <si>
    <t>Dominique Steele</t>
  </si>
  <si>
    <t>Don Frye</t>
  </si>
  <si>
    <t>Donald Cerrone</t>
  </si>
  <si>
    <t>Dong Hyun Kim</t>
  </si>
  <si>
    <t>Dongi Yang</t>
  </si>
  <si>
    <t>Donnie Chappell</t>
  </si>
  <si>
    <t>Donny Walker</t>
  </si>
  <si>
    <t>Doo Ho Choi</t>
  </si>
  <si>
    <t>Dorian Price</t>
  </si>
  <si>
    <t>Douglas Evans</t>
  </si>
  <si>
    <t>Douglas Silva de Andrade</t>
  </si>
  <si>
    <t>Drew Dober</t>
  </si>
  <si>
    <t>Drew Fickett</t>
  </si>
  <si>
    <t>Drew McFedries</t>
  </si>
  <si>
    <t>Duane Ludwig</t>
  </si>
  <si>
    <t>Dustin Hazelett</t>
  </si>
  <si>
    <t>Dustin Jacoby</t>
  </si>
  <si>
    <t>Dustin Kimura</t>
  </si>
  <si>
    <t>Dustin Neace</t>
  </si>
  <si>
    <t>Dustin Ortiz</t>
  </si>
  <si>
    <t>Dustin Pague</t>
  </si>
  <si>
    <t>Dustin Poirier</t>
  </si>
  <si>
    <t>Dwayne Cason</t>
  </si>
  <si>
    <t>Dylan Andrews</t>
  </si>
  <si>
    <t>Ebenezer Fontes Braga</t>
  </si>
  <si>
    <t>Ed Herman</t>
  </si>
  <si>
    <t>Eddie Alvarez</t>
  </si>
  <si>
    <t>Eddie Gordon</t>
  </si>
  <si>
    <t>Eddie Mendez</t>
  </si>
  <si>
    <t>Eddie Ruiz</t>
  </si>
  <si>
    <t>Eddie Sanchez</t>
  </si>
  <si>
    <t>Eddie Wineland</t>
  </si>
  <si>
    <t>Eddie Yagin</t>
  </si>
  <si>
    <t>Edgar Garcia</t>
  </si>
  <si>
    <t>Edilberto de Oliveira</t>
  </si>
  <si>
    <t>Edimilson Souza</t>
  </si>
  <si>
    <t>Ednaldo Oliveira</t>
  </si>
  <si>
    <t>Edson Barboza</t>
  </si>
  <si>
    <t>Edward Faaloloto</t>
  </si>
  <si>
    <t>Edwin Figueroa</t>
  </si>
  <si>
    <t>Efrain Escudero</t>
  </si>
  <si>
    <t>Eiji Mitsuoka</t>
  </si>
  <si>
    <t>Elias Silverio</t>
  </si>
  <si>
    <t>Elias Theodorou</t>
  </si>
  <si>
    <t>Eliot Marshall</t>
  </si>
  <si>
    <t>Elizabeth Phillips</t>
  </si>
  <si>
    <t>Elizeu Zaleski dos Santos</t>
  </si>
  <si>
    <t>Elvis Mutapcic</t>
  </si>
  <si>
    <t>Elvis Sinosic</t>
  </si>
  <si>
    <t>Emily Kagan</t>
  </si>
  <si>
    <t>Emmanuel Yarborough</t>
  </si>
  <si>
    <t>Enrique Barzola</t>
  </si>
  <si>
    <t>Enrique Briones</t>
  </si>
  <si>
    <t>Enrique Marin</t>
  </si>
  <si>
    <t>Enson Inoue</t>
  </si>
  <si>
    <t>Eric Schafer</t>
  </si>
  <si>
    <t>Eric Wisely</t>
  </si>
  <si>
    <t>Erick Montano</t>
  </si>
  <si>
    <t>Erick Silva</t>
  </si>
  <si>
    <t>Ericka Almeida</t>
  </si>
  <si>
    <t>Erik Koch</t>
  </si>
  <si>
    <t>Erik Perez</t>
  </si>
  <si>
    <t>Ernest Chavez</t>
  </si>
  <si>
    <t>Ernie Verdicia</t>
  </si>
  <si>
    <t>Estevan Payan</t>
  </si>
  <si>
    <t>Eugene Jackson</t>
  </si>
  <si>
    <t>Eugenio Tadeu</t>
  </si>
  <si>
    <t>Evan Dunham</t>
  </si>
  <si>
    <t>Evan Tanner</t>
  </si>
  <si>
    <t>Fabiano Iha</t>
  </si>
  <si>
    <t>Fabiano Scherner</t>
  </si>
  <si>
    <t>Fabio Gurgel</t>
  </si>
  <si>
    <t>Fabio Maldonado</t>
  </si>
  <si>
    <t>Fabricio Camoes</t>
  </si>
  <si>
    <t>Fabricio Werdum</t>
  </si>
  <si>
    <t>Falaniko Vitale</t>
  </si>
  <si>
    <t>Felice Herrig</t>
  </si>
  <si>
    <t>Felipe Arantes</t>
  </si>
  <si>
    <t>Felipe Olivieri</t>
  </si>
  <si>
    <t>Felix Mitchell</t>
  </si>
  <si>
    <t>Fernando Bruno</t>
  </si>
  <si>
    <t>Flavio Luiz Moura</t>
  </si>
  <si>
    <t>Floyd Sword</t>
  </si>
  <si>
    <t>Forrest Griffin</t>
  </si>
  <si>
    <t>Forrest Petz</t>
  </si>
  <si>
    <t>Francimar Barroso</t>
  </si>
  <si>
    <t>Francis Carmont</t>
  </si>
  <si>
    <t>Francis Ngannou</t>
  </si>
  <si>
    <t>Francisco Rivera</t>
  </si>
  <si>
    <t>Francisco Trevino</t>
  </si>
  <si>
    <t>Francisco Trinaldo</t>
  </si>
  <si>
    <t>Frank Caracci</t>
  </si>
  <si>
    <t>Frank Hamaker</t>
  </si>
  <si>
    <t>Frank Lester</t>
  </si>
  <si>
    <t>Frank Mir</t>
  </si>
  <si>
    <t>Frank Shamrock</t>
  </si>
  <si>
    <t>Frank Trigg</t>
  </si>
  <si>
    <t>Frankie Edgar</t>
  </si>
  <si>
    <t>Frankie Perez</t>
  </si>
  <si>
    <t>Frankie Saenz</t>
  </si>
  <si>
    <t>Fred Ettish</t>
  </si>
  <si>
    <t>Fredson Paixao</t>
  </si>
  <si>
    <t>Gabe Ruediger</t>
  </si>
  <si>
    <t>Gabriel Benitez</t>
  </si>
  <si>
    <t>Gabriel Gonzaga</t>
  </si>
  <si>
    <t>Gan McGee</t>
  </si>
  <si>
    <t>Garett Whiteley</t>
  </si>
  <si>
    <t>Garreth McLellan</t>
  </si>
  <si>
    <t>Gary Goodridge</t>
  </si>
  <si>
    <t>Gasan Umalatov</t>
  </si>
  <si>
    <t>Geane Herrera</t>
  </si>
  <si>
    <t>Gegard Mousasi</t>
  </si>
  <si>
    <t>Genki Sudo</t>
  </si>
  <si>
    <t>George Roop</t>
  </si>
  <si>
    <t>George Sotiropoulos</t>
  </si>
  <si>
    <t>George Sullivan</t>
  </si>
  <si>
    <t>Georges St. Pierre</t>
  </si>
  <si>
    <t>Gerald Harris</t>
  </si>
  <si>
    <t>Gerald Strebendt</t>
  </si>
  <si>
    <t>Gerard Gordeau</t>
  </si>
  <si>
    <t>Germaine de Randamie</t>
  </si>
  <si>
    <t>Gerry Harris</t>
  </si>
  <si>
    <t>Geza Kalman</t>
  </si>
  <si>
    <t>Gian Villante</t>
  </si>
  <si>
    <t>Gideon Ray</t>
  </si>
  <si>
    <t>Gil Castillo</t>
  </si>
  <si>
    <t>Gilbert Aldana</t>
  </si>
  <si>
    <t>Gilbert Burns</t>
  </si>
  <si>
    <t>Gilbert Melendez</t>
  </si>
  <si>
    <t>Gilbert Smith</t>
  </si>
  <si>
    <t>Gilbert Yvel</t>
  </si>
  <si>
    <t>Glaico Franca</t>
  </si>
  <si>
    <t>Gleison Tibau</t>
  </si>
  <si>
    <t>Glover Teixeira</t>
  </si>
  <si>
    <t>Godofredo Castro</t>
  </si>
  <si>
    <t>Goran Reljic</t>
  </si>
  <si>
    <t>Gray Maynard</t>
  </si>
  <si>
    <t>Greg Soto</t>
  </si>
  <si>
    <t>Greg Stott</t>
  </si>
  <si>
    <t>Guangyou Ning</t>
  </si>
  <si>
    <t>Guido Cannetti</t>
  </si>
  <si>
    <t>Guilherme Vasconcelos</t>
  </si>
  <si>
    <t>Gunnar Nelson</t>
  </si>
  <si>
    <t>Guy Mezger</t>
  </si>
  <si>
    <t>Hacran Dias</t>
  </si>
  <si>
    <t>Hans Stringer</t>
  </si>
  <si>
    <t>Harold Howard</t>
  </si>
  <si>
    <t>Harry Moskowitz</t>
  </si>
  <si>
    <t>Hatsu Hioki</t>
  </si>
  <si>
    <t>Hayato Sakurai</t>
  </si>
  <si>
    <t>Hayder Hassan</t>
  </si>
  <si>
    <t>Heath Herring</t>
  </si>
  <si>
    <t>Heather Clark</t>
  </si>
  <si>
    <t>Hector Lombard</t>
  </si>
  <si>
    <t>Hector Ramirez</t>
  </si>
  <si>
    <t>Hector Urbina</t>
  </si>
  <si>
    <t>Henry Cejudo</t>
  </si>
  <si>
    <t>Henry Martinez</t>
  </si>
  <si>
    <t>Hermes Franca</t>
  </si>
  <si>
    <t>Hernani Perpetuo</t>
  </si>
  <si>
    <t>Holly Holm</t>
  </si>
  <si>
    <t>Homer Moore</t>
  </si>
  <si>
    <t>Horacio Gutierrez</t>
  </si>
  <si>
    <t>Houston Alexander</t>
  </si>
  <si>
    <t>Houston Dorr</t>
  </si>
  <si>
    <t>Hugo Duarte</t>
  </si>
  <si>
    <t>Hugo Viana</t>
  </si>
  <si>
    <t>Humberto Brown Morrison</t>
  </si>
  <si>
    <t>Hyun Gyu Lim</t>
  </si>
  <si>
    <t>Ian Entwistle</t>
  </si>
  <si>
    <t>Ian Freeman</t>
  </si>
  <si>
    <t>Ian Loveland</t>
  </si>
  <si>
    <t>Ian McCall</t>
  </si>
  <si>
    <t>Icho Larenas</t>
  </si>
  <si>
    <t>Igor Araujo</t>
  </si>
  <si>
    <t>Igor Pokrajac</t>
  </si>
  <si>
    <t>Igor Zinoviev</t>
  </si>
  <si>
    <t>Ikuhisa Minowa</t>
  </si>
  <si>
    <t>Ildemar Alcantara</t>
  </si>
  <si>
    <t>Iliarde Santos</t>
  </si>
  <si>
    <t>Ilir Latifi</t>
  </si>
  <si>
    <t>Isaac Vallie-Flagg</t>
  </si>
  <si>
    <t>Islam Makhachev</t>
  </si>
  <si>
    <t>Issei Tamura</t>
  </si>
  <si>
    <t>Iuri Alcantara</t>
  </si>
  <si>
    <t>Ivan Jorge</t>
  </si>
  <si>
    <t>Ivan Menjivar</t>
  </si>
  <si>
    <t>Ivan Salaverry</t>
  </si>
  <si>
    <t>Ivan Serati</t>
  </si>
  <si>
    <t>Izabela Badurek</t>
  </si>
  <si>
    <t>Jack May</t>
  </si>
  <si>
    <t>Jack Nilson</t>
  </si>
  <si>
    <t>Jacob Volkmann</t>
  </si>
  <si>
    <t>Jake Collier</t>
  </si>
  <si>
    <t>Jake Ellenberger</t>
  </si>
  <si>
    <t>Jake Hecht</t>
  </si>
  <si>
    <t>Jake Lindsey</t>
  </si>
  <si>
    <t>Jake Matthews</t>
  </si>
  <si>
    <t>Jake O'Brien</t>
  </si>
  <si>
    <t>Jake Rosholt</t>
  </si>
  <si>
    <t>Jake Shields</t>
  </si>
  <si>
    <t>James Giboo</t>
  </si>
  <si>
    <t>James Hammortree</t>
  </si>
  <si>
    <t>James Head</t>
  </si>
  <si>
    <t>James Irvin</t>
  </si>
  <si>
    <t>James Krause</t>
  </si>
  <si>
    <t>James Lee</t>
  </si>
  <si>
    <t>James McSweeney</t>
  </si>
  <si>
    <t>James Moontasri</t>
  </si>
  <si>
    <t>James Te Huna</t>
  </si>
  <si>
    <t>James Toney</t>
  </si>
  <si>
    <t>James Vick</t>
  </si>
  <si>
    <t>James Wilks</t>
  </si>
  <si>
    <t>James Zikic</t>
  </si>
  <si>
    <t>Jamie Varner</t>
  </si>
  <si>
    <t>Jamie Yager</t>
  </si>
  <si>
    <t>Jan Blachowicz</t>
  </si>
  <si>
    <t>Jared Cannonier</t>
  </si>
  <si>
    <t>Jared Hamman</t>
  </si>
  <si>
    <t>Jared Papazian</t>
  </si>
  <si>
    <t>Jared Rollins</t>
  </si>
  <si>
    <t>Jared Rosholt</t>
  </si>
  <si>
    <t>Jason Black</t>
  </si>
  <si>
    <t>Jason Brilz</t>
  </si>
  <si>
    <t>Jason Day</t>
  </si>
  <si>
    <t>Jason DeLucia</t>
  </si>
  <si>
    <t>Jason Dent</t>
  </si>
  <si>
    <t>Jason Fairn</t>
  </si>
  <si>
    <t>Jason Gilliam</t>
  </si>
  <si>
    <t>Jason Godsey</t>
  </si>
  <si>
    <t>Jason High</t>
  </si>
  <si>
    <t>Jason Knight</t>
  </si>
  <si>
    <t>Jason Lambert</t>
  </si>
  <si>
    <t>Jason MacDonald</t>
  </si>
  <si>
    <t>Jason Miller</t>
  </si>
  <si>
    <t>Jason Reinhardt</t>
  </si>
  <si>
    <t>Jason Saggo</t>
  </si>
  <si>
    <t>Jason Tan</t>
  </si>
  <si>
    <t>Jason Thacker</t>
  </si>
  <si>
    <t>Jason Von Flue</t>
  </si>
  <si>
    <t>Jason Young</t>
  </si>
  <si>
    <t>Javier Vazquez</t>
  </si>
  <si>
    <t>Jay Hieron</t>
  </si>
  <si>
    <t>Jay Silva</t>
  </si>
  <si>
    <t>Jeff Cox</t>
  </si>
  <si>
    <t>Jeff Curran</t>
  </si>
  <si>
    <t>Jeff Hougland</t>
  </si>
  <si>
    <t>Jeff Joslin</t>
  </si>
  <si>
    <t>Jeff Monson</t>
  </si>
  <si>
    <t>Jeff Newton</t>
  </si>
  <si>
    <t>Jens Pulver</t>
  </si>
  <si>
    <t>Jeremy Horn</t>
  </si>
  <si>
    <t>Jeremy Jackson</t>
  </si>
  <si>
    <t>Jeremy Larsen</t>
  </si>
  <si>
    <t>Jeremy Stephens</t>
  </si>
  <si>
    <t>Jermaine Andre</t>
  </si>
  <si>
    <t>Jerrod Sanders</t>
  </si>
  <si>
    <t>Jerry Bohlander</t>
  </si>
  <si>
    <t>Jess Liaudin</t>
  </si>
  <si>
    <t>Jessamyn Duke</t>
  </si>
  <si>
    <t>Jesse Bongfeldt</t>
  </si>
  <si>
    <t>Jesse Forbes</t>
  </si>
  <si>
    <t>Jesse Lennox</t>
  </si>
  <si>
    <t>Jesse Ronson</t>
  </si>
  <si>
    <t>Jesse Sanders</t>
  </si>
  <si>
    <t>Jesse Taylor</t>
  </si>
  <si>
    <t>Jessica Aguilar</t>
  </si>
  <si>
    <t>Jessica Andrade</t>
  </si>
  <si>
    <t>Jessica Eye</t>
  </si>
  <si>
    <t>Jessica Penne</t>
  </si>
  <si>
    <t>Jessica Rakoczy</t>
  </si>
  <si>
    <t>Jianping Yang</t>
  </si>
  <si>
    <t>Jim Alers</t>
  </si>
  <si>
    <t>Jim Miller</t>
  </si>
  <si>
    <t>Jim Mullen</t>
  </si>
  <si>
    <t>Jimi Manuwa</t>
  </si>
  <si>
    <t>Jimmie Rivera</t>
  </si>
  <si>
    <t>Jimmy Quinlan</t>
  </si>
  <si>
    <t>Jingliang Li</t>
  </si>
  <si>
    <t>Joanna Jedrzejczyk</t>
  </si>
  <si>
    <t>Joanne Calderwood</t>
  </si>
  <si>
    <t>Joao Marcos Pierini</t>
  </si>
  <si>
    <t>Joao Roque</t>
  </si>
  <si>
    <t>Joao Zeferino</t>
  </si>
  <si>
    <t>Joaquim Silva</t>
  </si>
  <si>
    <t>Joby Sanchez</t>
  </si>
  <si>
    <t>Jocelyn Jones-Lybarger</t>
  </si>
  <si>
    <t>Joe Brammer</t>
  </si>
  <si>
    <t>Joe Charles</t>
  </si>
  <si>
    <t>Joe Doerksen</t>
  </si>
  <si>
    <t>Joe Ellenberger</t>
  </si>
  <si>
    <t>Joe Jordan</t>
  </si>
  <si>
    <t>Joe Lauzon</t>
  </si>
  <si>
    <t>Joe Merritt</t>
  </si>
  <si>
    <t>Joe Moreira</t>
  </si>
  <si>
    <t>Joe Pardo</t>
  </si>
  <si>
    <t>Joe Proctor</t>
  </si>
  <si>
    <t>Joe Riggs</t>
  </si>
  <si>
    <t>Joe Slick</t>
  </si>
  <si>
    <t>Joe Son</t>
  </si>
  <si>
    <t>Joe Soto</t>
  </si>
  <si>
    <t>Joe Stevenson</t>
  </si>
  <si>
    <t>Joe Vedepo</t>
  </si>
  <si>
    <t>Joe Veres</t>
  </si>
  <si>
    <t>Joey Beltran</t>
  </si>
  <si>
    <t>Joey Gambino</t>
  </si>
  <si>
    <t>Joey Gilbert</t>
  </si>
  <si>
    <t>Joey Gomez</t>
  </si>
  <si>
    <t>Joey Roberts</t>
  </si>
  <si>
    <t>John Albert</t>
  </si>
  <si>
    <t>John Alessio</t>
  </si>
  <si>
    <t>John Campetella</t>
  </si>
  <si>
    <t>John Cholish</t>
  </si>
  <si>
    <t>John Cofer</t>
  </si>
  <si>
    <t>John Dodson</t>
  </si>
  <si>
    <t>John Gunderson</t>
  </si>
  <si>
    <t>John Halverson</t>
  </si>
  <si>
    <t>John Hathaway</t>
  </si>
  <si>
    <t>John Howard</t>
  </si>
  <si>
    <t>John Kolosci</t>
  </si>
  <si>
    <t>John Lewis</t>
  </si>
  <si>
    <t>John Lineker</t>
  </si>
  <si>
    <t>John Lober</t>
  </si>
  <si>
    <t>John Maguire</t>
  </si>
  <si>
    <t>John Makdessi</t>
  </si>
  <si>
    <t>John Marsh</t>
  </si>
  <si>
    <t>John Matua</t>
  </si>
  <si>
    <t>John Moraga</t>
  </si>
  <si>
    <t>John Olav Einemo</t>
  </si>
  <si>
    <t>John Polakowski</t>
  </si>
  <si>
    <t>John Salter</t>
  </si>
  <si>
    <t>John Teixeira da Conceicao</t>
  </si>
  <si>
    <t>Johnny Bedford</t>
  </si>
  <si>
    <t>Johnny Case</t>
  </si>
  <si>
    <t>Johnny Eduardo</t>
  </si>
  <si>
    <t>Johnny Rees</t>
  </si>
  <si>
    <t>Johnny Rhodes</t>
  </si>
  <si>
    <t>Johny Hendricks</t>
  </si>
  <si>
    <t>Jon Fitch</t>
  </si>
  <si>
    <t>Jon Hess</t>
  </si>
  <si>
    <t>Jon Jones</t>
  </si>
  <si>
    <t>Jon Madsen</t>
  </si>
  <si>
    <t>Jon Manley</t>
  </si>
  <si>
    <t>Jon Tuck</t>
  </si>
  <si>
    <t>Jonathan Brookins</t>
  </si>
  <si>
    <t>Jonathan Goulet</t>
  </si>
  <si>
    <t>Jonathan Wiezorek</t>
  </si>
  <si>
    <t>Jonathan Wilson</t>
  </si>
  <si>
    <t>Jonavin Webb</t>
  </si>
  <si>
    <t>Jordan Mein</t>
  </si>
  <si>
    <t>Jordan Radev</t>
  </si>
  <si>
    <t>Jorge Gurgel</t>
  </si>
  <si>
    <t>Jorge Lopez</t>
  </si>
  <si>
    <t>Jorge Masvidal</t>
  </si>
  <si>
    <t>Jorge Patino</t>
  </si>
  <si>
    <t>Jorge Rivera</t>
  </si>
  <si>
    <t>Jorge Santiago</t>
  </si>
  <si>
    <t>Jose Alberto Quinonez</t>
  </si>
  <si>
    <t>Jose Aldo</t>
  </si>
  <si>
    <t>Jose Maria Tome</t>
  </si>
  <si>
    <t>Joseph Benavidez</t>
  </si>
  <si>
    <t>Joseph Sandoval</t>
  </si>
  <si>
    <t>Josh Barnett</t>
  </si>
  <si>
    <t>Josh Bryant</t>
  </si>
  <si>
    <t>Josh Clopton</t>
  </si>
  <si>
    <t>Josh Copeland</t>
  </si>
  <si>
    <t>Josh Ferguson</t>
  </si>
  <si>
    <t>Josh Grispi</t>
  </si>
  <si>
    <t>Josh Haynes</t>
  </si>
  <si>
    <t>Josh Hendricks</t>
  </si>
  <si>
    <t>Josh Koscheck</t>
  </si>
  <si>
    <t>Josh Neer</t>
  </si>
  <si>
    <t>Josh Rafferty</t>
  </si>
  <si>
    <t>Josh Samman</t>
  </si>
  <si>
    <t>Josh Schockman</t>
  </si>
  <si>
    <t>Josh Shockley</t>
  </si>
  <si>
    <t>Josh Thomson</t>
  </si>
  <si>
    <t>Joshua Burkman</t>
  </si>
  <si>
    <t>Jules Bruchez</t>
  </si>
  <si>
    <t>Julian Erosa</t>
  </si>
  <si>
    <t>Julian Sanchez</t>
  </si>
  <si>
    <t>Juliana Lima</t>
  </si>
  <si>
    <t>Julianna Pena</t>
  </si>
  <si>
    <t>Julie Kedzie</t>
  </si>
  <si>
    <t>Julio Paulino</t>
  </si>
  <si>
    <t>Jumabieke Tuerxun</t>
  </si>
  <si>
    <t>Junior Assuncao</t>
  </si>
  <si>
    <t>Jussier da Silva</t>
  </si>
  <si>
    <t>Justin Buchholz</t>
  </si>
  <si>
    <t>Justin Edwards</t>
  </si>
  <si>
    <t>Justin Eilers</t>
  </si>
  <si>
    <t>Justin James</t>
  </si>
  <si>
    <t>Justin Jones</t>
  </si>
  <si>
    <t>Justin Lawrence</t>
  </si>
  <si>
    <t>Justin Levens</t>
  </si>
  <si>
    <t>Justin McCully</t>
  </si>
  <si>
    <t>Justin Salas</t>
  </si>
  <si>
    <t>Justin Scoggins</t>
  </si>
  <si>
    <t>Justin Wren</t>
  </si>
  <si>
    <t>Justine Kish</t>
  </si>
  <si>
    <t>Jutaro Nakao</t>
  </si>
  <si>
    <t>Kailin Curran</t>
  </si>
  <si>
    <t>Kajan Johnson</t>
  </si>
  <si>
    <t>Kalib Starnes</t>
  </si>
  <si>
    <t>Kamal Shalorus</t>
  </si>
  <si>
    <t>Kamaru Usman</t>
  </si>
  <si>
    <t>Karlos Vemola</t>
  </si>
  <si>
    <t>Karo Parisyan</t>
  </si>
  <si>
    <t>Karolina Kowalkiewicz</t>
  </si>
  <si>
    <t>Katsunori Kikuno</t>
  </si>
  <si>
    <t>Kazuhiro Nakamura</t>
  </si>
  <si>
    <t>Kazuki Tokudome</t>
  </si>
  <si>
    <t>Keigo Kunihara</t>
  </si>
  <si>
    <t>Keita Nakamura</t>
  </si>
  <si>
    <t>Keith Berish</t>
  </si>
  <si>
    <t>Keith Hackney</t>
  </si>
  <si>
    <t>Keith Jardine</t>
  </si>
  <si>
    <t>Keith Rockel</t>
  </si>
  <si>
    <t>Keith Wisniewski</t>
  </si>
  <si>
    <t>Kelly Dullanty</t>
  </si>
  <si>
    <t>Kelly Faszholz</t>
  </si>
  <si>
    <t>Kelvin Gastelum</t>
  </si>
  <si>
    <t>Ken Shamrock</t>
  </si>
  <si>
    <t>Ken Stone</t>
  </si>
  <si>
    <t>Kendall Grove</t>
  </si>
  <si>
    <t>Kenichi Yamamoto</t>
  </si>
  <si>
    <t>Kenny Florian</t>
  </si>
  <si>
    <t>Kenny Robertson</t>
  </si>
  <si>
    <t>Kerry Schall</t>
  </si>
  <si>
    <t>Kevin Burns</t>
  </si>
  <si>
    <t>Kevin Casey</t>
  </si>
  <si>
    <t>Kevin Ferguson</t>
  </si>
  <si>
    <t>Kevin Jackson</t>
  </si>
  <si>
    <t>Kevin Jordan</t>
  </si>
  <si>
    <t>Kevin Lee</t>
  </si>
  <si>
    <t>Kevin Randleman</t>
  </si>
  <si>
    <t>Kevin Rosier</t>
  </si>
  <si>
    <t>Khabib Nurmagomedov</t>
  </si>
  <si>
    <t>Kiichi Kunimoto</t>
  </si>
  <si>
    <t>Kimo Leopoldo</t>
  </si>
  <si>
    <t>Kit Cope</t>
  </si>
  <si>
    <t>Koji Kitao</t>
  </si>
  <si>
    <t>Koji Oishi</t>
  </si>
  <si>
    <t>Konstantin Erokhin</t>
  </si>
  <si>
    <t>Kris McCray</t>
  </si>
  <si>
    <t>Kris Rotharmel</t>
  </si>
  <si>
    <t>Kristof Midoux</t>
  </si>
  <si>
    <t>Krzysztof Jotko</t>
  </si>
  <si>
    <t>Krzysztof Soszynski</t>
  </si>
  <si>
    <t>Kuniyoshi Hironaka</t>
  </si>
  <si>
    <t>Kurt Holobaugh</t>
  </si>
  <si>
    <t>Kurt Pellegrino</t>
  </si>
  <si>
    <t>Kyle Bochniak</t>
  </si>
  <si>
    <t>Kyle Bradley</t>
  </si>
  <si>
    <t>Kyle Kingsbury</t>
  </si>
  <si>
    <t>Kyle Noke</t>
  </si>
  <si>
    <t>Kyle Watson</t>
  </si>
  <si>
    <t>Kyoji Horiguchi</t>
  </si>
  <si>
    <t>Kyung Ho Kang</t>
  </si>
  <si>
    <t>Lance Benoist</t>
  </si>
  <si>
    <t>Lance Gibson</t>
  </si>
  <si>
    <t>Larissa Pacheco</t>
  </si>
  <si>
    <t>Larry Cureton</t>
  </si>
  <si>
    <t>Lauren Murphy</t>
  </si>
  <si>
    <t>Lavar Johnson</t>
  </si>
  <si>
    <t>Leandro Issa</t>
  </si>
  <si>
    <t>Leandro Silva</t>
  </si>
  <si>
    <t>Lee Murray</t>
  </si>
  <si>
    <t>Leigh Remedios</t>
  </si>
  <si>
    <t>Leo Kuntz</t>
  </si>
  <si>
    <t>Leon Edwards</t>
  </si>
  <si>
    <t>Leonard Garcia</t>
  </si>
  <si>
    <t>Leonardo Guimaraes</t>
  </si>
  <si>
    <t>Leonardo Mafra Texeira</t>
  </si>
  <si>
    <t>Leonardo Morales</t>
  </si>
  <si>
    <t>Leonardo Santos</t>
  </si>
  <si>
    <t>Leslie Smith</t>
  </si>
  <si>
    <t>Levan Makashvili</t>
  </si>
  <si>
    <t>Lewis Gonzalez</t>
  </si>
  <si>
    <t>Lipeng Zhang</t>
  </si>
  <si>
    <t>Lisa Ellis</t>
  </si>
  <si>
    <t>Liz Carmouche</t>
  </si>
  <si>
    <t>Lodune Sincaid</t>
  </si>
  <si>
    <t>Logan Clark</t>
  </si>
  <si>
    <t>Lorenz Larkin</t>
  </si>
  <si>
    <t>Louis Gaudinot</t>
  </si>
  <si>
    <t>Louis Smolka</t>
  </si>
  <si>
    <t>Lowell Anderson</t>
  </si>
  <si>
    <t>Lucas Martins</t>
  </si>
  <si>
    <t>Lucio Linhares</t>
  </si>
  <si>
    <t>Luigi Fioravanti</t>
  </si>
  <si>
    <t>Luis Henrique Barbosa de Oliveira</t>
  </si>
  <si>
    <t>Luis Ramos</t>
  </si>
  <si>
    <t>Luiz Cane</t>
  </si>
  <si>
    <t>Luiz Jorge Dutra Jr.</t>
  </si>
  <si>
    <t>Lukasz Sajewski</t>
  </si>
  <si>
    <t>Luke Barnatt</t>
  </si>
  <si>
    <t>Luke Caudillo</t>
  </si>
  <si>
    <t>Luke Cummo</t>
  </si>
  <si>
    <t>Luke Rockhold</t>
  </si>
  <si>
    <t>Luke Sanders</t>
  </si>
  <si>
    <t>Luke Zachrich</t>
  </si>
  <si>
    <t>Lyman Good</t>
  </si>
  <si>
    <t>Lyoto Machida</t>
  </si>
  <si>
    <t>Mac Danzig</t>
  </si>
  <si>
    <t>Maciej Jewtuszko</t>
  </si>
  <si>
    <t>Mackens Semerzier</t>
  </si>
  <si>
    <t>Magnus Cedenblad</t>
  </si>
  <si>
    <t>Magomed Mustafaev</t>
  </si>
  <si>
    <t>Maiquel Falcao</t>
  </si>
  <si>
    <t>Mairbek Taisumov</t>
  </si>
  <si>
    <t>Makwan Amirkhani</t>
  </si>
  <si>
    <t>Manuel Rodriguez</t>
  </si>
  <si>
    <t>Marcelo Aguiar</t>
  </si>
  <si>
    <t>Marcelo Guimaraes</t>
  </si>
  <si>
    <t>Marcelo Mello</t>
  </si>
  <si>
    <t>Marcin Bandel</t>
  </si>
  <si>
    <t>Marcin Wrzosek</t>
  </si>
  <si>
    <t>Marcio Alexandre Jr.</t>
  </si>
  <si>
    <t>Marcio Cruz</t>
  </si>
  <si>
    <t>Marco Beltran</t>
  </si>
  <si>
    <t>Marco Polo Reyes</t>
  </si>
  <si>
    <t>Marco Ruas</t>
  </si>
  <si>
    <t>Marcos Rogerio de Lima</t>
  </si>
  <si>
    <t>Marcos Vinicius Borges Pancini</t>
  </si>
  <si>
    <t>Marcus Aurelio</t>
  </si>
  <si>
    <t>Marcus Bossett</t>
  </si>
  <si>
    <t>Marcus Brimage</t>
  </si>
  <si>
    <t>Marcus Davis</t>
  </si>
  <si>
    <t>Marcus Jones</t>
  </si>
  <si>
    <t>Marcus LeVesseur</t>
  </si>
  <si>
    <t>Mario Miranda</t>
  </si>
  <si>
    <t>Mario Neto</t>
  </si>
  <si>
    <t>Marion Reneau</t>
  </si>
  <si>
    <t>Mark Bocek</t>
  </si>
  <si>
    <t>Mark Coleman</t>
  </si>
  <si>
    <t>Mark Eddiva</t>
  </si>
  <si>
    <t>Mark Hall</t>
  </si>
  <si>
    <t>Mark Holst</t>
  </si>
  <si>
    <t>Mark Hominick</t>
  </si>
  <si>
    <t>Mark Hughes</t>
  </si>
  <si>
    <t>Mark Hunt</t>
  </si>
  <si>
    <t>Mark Kerr</t>
  </si>
  <si>
    <t>Mark Munoz</t>
  </si>
  <si>
    <t>Mark Robinson</t>
  </si>
  <si>
    <t>Mark Scanlon</t>
  </si>
  <si>
    <t>Mark Schultz</t>
  </si>
  <si>
    <t>Mark Weir</t>
  </si>
  <si>
    <t>Marlon Vera</t>
  </si>
  <si>
    <t>Martin Kampmann</t>
  </si>
  <si>
    <t>Marvin Eastman</t>
  </si>
  <si>
    <t>Maryna Moroz</t>
  </si>
  <si>
    <t>Masanori Kanehara</t>
  </si>
  <si>
    <t>Masio Fullen</t>
  </si>
  <si>
    <t>Matheus Nicolau Pereira</t>
  </si>
  <si>
    <t>Mats Nilsson</t>
  </si>
  <si>
    <t>Matt Andersen</t>
  </si>
  <si>
    <t>Matt Arroyo</t>
  </si>
  <si>
    <t>Matt Brown</t>
  </si>
  <si>
    <t>Matt Dwyer</t>
  </si>
  <si>
    <t>Matt Grice</t>
  </si>
  <si>
    <t>Matt Hamill</t>
  </si>
  <si>
    <t>Matt Hobar</t>
  </si>
  <si>
    <t>Matt Horwich</t>
  </si>
  <si>
    <t>Matt Hughes</t>
  </si>
  <si>
    <t>Matt Lindland</t>
  </si>
  <si>
    <t>Matt Lucas</t>
  </si>
  <si>
    <t>Matt Mitrione</t>
  </si>
  <si>
    <t>Matt Serra</t>
  </si>
  <si>
    <t>Matt Van Buren</t>
  </si>
  <si>
    <t>Matt Veach</t>
  </si>
  <si>
    <t>Matt Wiman</t>
  </si>
  <si>
    <t>Maurice Smith</t>
  </si>
  <si>
    <t>Mauricio Rua</t>
  </si>
  <si>
    <t>Max Holloway</t>
  </si>
  <si>
    <t>Maximo Blanco</t>
  </si>
  <si>
    <t>Mehdi Baghdad</t>
  </si>
  <si>
    <t>Melton Bowen</t>
  </si>
  <si>
    <t>Melvin Guillard</t>
  </si>
  <si>
    <t>Michael Bisping</t>
  </si>
  <si>
    <t>Michael Chiesa</t>
  </si>
  <si>
    <t>Michael Graves</t>
  </si>
  <si>
    <t>Michael Guymon</t>
  </si>
  <si>
    <t>Michael Johnson</t>
  </si>
  <si>
    <t>Michael Kuiper</t>
  </si>
  <si>
    <t>Michael McDonald</t>
  </si>
  <si>
    <t>Michael Patt</t>
  </si>
  <si>
    <t>Michelle Waterson</t>
  </si>
  <si>
    <t>Michihiro Omigawa</t>
  </si>
  <si>
    <t>Michinori Tanaka</t>
  </si>
  <si>
    <t>Mickael Lebout</t>
  </si>
  <si>
    <t>Mickey Gall</t>
  </si>
  <si>
    <t>Miesha Tate</t>
  </si>
  <si>
    <t>Miguel Torres</t>
  </si>
  <si>
    <t>Mike Ciesnolevicz</t>
  </si>
  <si>
    <t>Mike de la Torre</t>
  </si>
  <si>
    <t>Mike Easton</t>
  </si>
  <si>
    <t>Mike Jackson</t>
  </si>
  <si>
    <t>Mike King</t>
  </si>
  <si>
    <t>Mike Kyle</t>
  </si>
  <si>
    <t>Mike Lullo</t>
  </si>
  <si>
    <t>Mike Massenzio</t>
  </si>
  <si>
    <t>Mike Nickels</t>
  </si>
  <si>
    <t>Mike Pierce</t>
  </si>
  <si>
    <t>Mike Pyle</t>
  </si>
  <si>
    <t>Mike Rhodes</t>
  </si>
  <si>
    <t>Mike Ricci</t>
  </si>
  <si>
    <t>Mike Rio</t>
  </si>
  <si>
    <t>Mike Russow</t>
  </si>
  <si>
    <t>Mike Stumpf</t>
  </si>
  <si>
    <t>Mike Swick</t>
  </si>
  <si>
    <t>Mike Thomas Brown</t>
  </si>
  <si>
    <t>Mike Wessel</t>
  </si>
  <si>
    <t>Mike Whitehead</t>
  </si>
  <si>
    <t>Mike Wilkinson</t>
  </si>
  <si>
    <t>Mikey Burnett</t>
  </si>
  <si>
    <t>Milana Dudieva</t>
  </si>
  <si>
    <t>Milton Vieira</t>
  </si>
  <si>
    <t>Minoki Ichihara</t>
  </si>
  <si>
    <t>Mirko Filipovic</t>
  </si>
  <si>
    <t>Mirsad Bektic</t>
  </si>
  <si>
    <t>Misha Cirkunov</t>
  </si>
  <si>
    <t>Mitch Clarke</t>
  </si>
  <si>
    <t>Mitch Gagnon</t>
  </si>
  <si>
    <t>Mizuto Hirota</t>
  </si>
  <si>
    <t>Mostapha Al-Turk</t>
  </si>
  <si>
    <t>Moti Horenstein</t>
  </si>
  <si>
    <t>Motonobu Tezuka</t>
  </si>
  <si>
    <t>Murilo Bustamante</t>
  </si>
  <si>
    <t>Myles Jury</t>
  </si>
  <si>
    <t>Nah-Shon Burrell</t>
  </si>
  <si>
    <t>Nam Phan</t>
  </si>
  <si>
    <t>Nandor Guelmino</t>
  </si>
  <si>
    <t>Naoyuki Kotani</t>
  </si>
  <si>
    <t>Nate Diaz</t>
  </si>
  <si>
    <t>Nate Loughran</t>
  </si>
  <si>
    <t>Nate Marquardt</t>
  </si>
  <si>
    <t>Nate Mohr</t>
  </si>
  <si>
    <t>Nate Quarry</t>
  </si>
  <si>
    <t>Nate Schroeder</t>
  </si>
  <si>
    <t>Nathan Coy</t>
  </si>
  <si>
    <t>Nazareno Malegarie</t>
  </si>
  <si>
    <t>Neil Grove</t>
  </si>
  <si>
    <t>Neil Magny</t>
  </si>
  <si>
    <t>Neil Seery</t>
  </si>
  <si>
    <t>Neil Wain</t>
  </si>
  <si>
    <t>Nicholas Musoke</t>
  </si>
  <si>
    <t>Nick Agallar</t>
  </si>
  <si>
    <t>Nick Catone</t>
  </si>
  <si>
    <t>Nick Denis</t>
  </si>
  <si>
    <t>Nick Diaz</t>
  </si>
  <si>
    <t>Nick Hein</t>
  </si>
  <si>
    <t>Nick Osipczak</t>
  </si>
  <si>
    <t>Nick Pace</t>
  </si>
  <si>
    <t>Nick Penner</t>
  </si>
  <si>
    <t>Nick Ring</t>
  </si>
  <si>
    <t>Nick Sanzo</t>
  </si>
  <si>
    <t>Nick Serra</t>
  </si>
  <si>
    <t>Nick Thompson</t>
  </si>
  <si>
    <t>Nicolas Dalby</t>
  </si>
  <si>
    <t>Nik Lentz</t>
  </si>
  <si>
    <t>Nikita Krylov</t>
  </si>
  <si>
    <t>Niklas Backstrom</t>
  </si>
  <si>
    <t>Nina Ansaroff</t>
  </si>
  <si>
    <t>Nissen Osterneck</t>
  </si>
  <si>
    <t>Noad Lahat</t>
  </si>
  <si>
    <t>Noe Hernandez</t>
  </si>
  <si>
    <t>Nolan Ticman</t>
  </si>
  <si>
    <t>Nordine Taleb</t>
  </si>
  <si>
    <t>Norifumi Yamamoto</t>
  </si>
  <si>
    <t>Norman Parke</t>
  </si>
  <si>
    <t>Oleg Taktarov</t>
  </si>
  <si>
    <t>Oli Thompson</t>
  </si>
  <si>
    <t>Olivier Aubin-Mercier</t>
  </si>
  <si>
    <t>Oluwale Bamgbose</t>
  </si>
  <si>
    <t>Omari Akhmedov</t>
  </si>
  <si>
    <t>Orlando Wiet</t>
  </si>
  <si>
    <t>Ovince St. Preux</t>
  </si>
  <si>
    <t>Pablo Garza</t>
  </si>
  <si>
    <t>Paige VanZant</t>
  </si>
  <si>
    <t>Papy Abedi</t>
  </si>
  <si>
    <t>Pascal Krauss</t>
  </si>
  <si>
    <t>Pat Audinwood</t>
  </si>
  <si>
    <t>Pat Barry</t>
  </si>
  <si>
    <t>Pat Healy</t>
  </si>
  <si>
    <t>Pat Miletich</t>
  </si>
  <si>
    <t>Pat Schilling</t>
  </si>
  <si>
    <t>Patrick Cote</t>
  </si>
  <si>
    <t>Patrick Cummins</t>
  </si>
  <si>
    <t>Patrick Holohan</t>
  </si>
  <si>
    <t>Patrick Smith</t>
  </si>
  <si>
    <t>Patrick Walsh</t>
  </si>
  <si>
    <t>Patrick Williams</t>
  </si>
  <si>
    <t>Paul Bradley</t>
  </si>
  <si>
    <t>Paul Buentello</t>
  </si>
  <si>
    <t>Paul Creighton</t>
  </si>
  <si>
    <t>Paul Daley</t>
  </si>
  <si>
    <t>Paul Felder</t>
  </si>
  <si>
    <t>Paul Georgieff</t>
  </si>
  <si>
    <t>Paul Herrera</t>
  </si>
  <si>
    <t>Paul Jones</t>
  </si>
  <si>
    <t>Paul Kelly</t>
  </si>
  <si>
    <t>Paul Redmond</t>
  </si>
  <si>
    <t>Paul Rodriguez</t>
  </si>
  <si>
    <t>Paul Sass</t>
  </si>
  <si>
    <t>Paul Taylor</t>
  </si>
  <si>
    <t>Paul Varelans</t>
  </si>
  <si>
    <t>Paulo Thiago</t>
  </si>
  <si>
    <t>Pawel Pawlak</t>
  </si>
  <si>
    <t>Pedro Munhoz</t>
  </si>
  <si>
    <t>Pedro Nobre</t>
  </si>
  <si>
    <t>Pedro Rizzo</t>
  </si>
  <si>
    <t>Peggy Morgan</t>
  </si>
  <si>
    <t>Per Eklund</t>
  </si>
  <si>
    <t>Pete Sell</t>
  </si>
  <si>
    <t>Pete Spratt</t>
  </si>
  <si>
    <t>Pete Williams</t>
  </si>
  <si>
    <t>Peter Sobotta</t>
  </si>
  <si>
    <t>Phil Baroni</t>
  </si>
  <si>
    <t>Phil Davis</t>
  </si>
  <si>
    <t>Phil Harris</t>
  </si>
  <si>
    <t>Phil Johns</t>
  </si>
  <si>
    <t>Philip De Fries</t>
  </si>
  <si>
    <t>Phillip Miller</t>
  </si>
  <si>
    <t>Phillipe Nover</t>
  </si>
  <si>
    <t>Piotr Hallmann</t>
  </si>
  <si>
    <t>Quinn Mulhern</t>
  </si>
  <si>
    <t>Rafael Carino</t>
  </si>
  <si>
    <t>Rafael Natal</t>
  </si>
  <si>
    <t>Rafaello Oliveira</t>
  </si>
  <si>
    <t>Rainy Martinez</t>
  </si>
  <si>
    <t>Rameau Thierry Sokoudjou</t>
  </si>
  <si>
    <t>Ramiro Hernandez</t>
  </si>
  <si>
    <t>Ramsey Nijem</t>
  </si>
  <si>
    <t>Randa Markos</t>
  </si>
  <si>
    <t>Randy Brown</t>
  </si>
  <si>
    <t>Randy Couture</t>
  </si>
  <si>
    <t>Rani Yahya</t>
  </si>
  <si>
    <t>Raphael Assuncao</t>
  </si>
  <si>
    <t>Raquel Pennington</t>
  </si>
  <si>
    <t>Rashad Evans</t>
  </si>
  <si>
    <t>Rashid Magomedov</t>
  </si>
  <si>
    <t>Ray Borg</t>
  </si>
  <si>
    <t>Ray Wizard</t>
  </si>
  <si>
    <t>Razak Al-Hassan</t>
  </si>
  <si>
    <t>Reese Andy</t>
  </si>
  <si>
    <t>Reginaldo Vieira</t>
  </si>
  <si>
    <t>Remco Pardoel</t>
  </si>
  <si>
    <t>Renan Barao</t>
  </si>
  <si>
    <t>Renato Sobral</t>
  </si>
  <si>
    <t>Renato Verissimo</t>
  </si>
  <si>
    <t>Renee Forte</t>
  </si>
  <si>
    <t>Renzo Gracie</t>
  </si>
  <si>
    <t>Reuben Duran</t>
  </si>
  <si>
    <t>Rex Holman</t>
  </si>
  <si>
    <t>Reza Madadi</t>
  </si>
  <si>
    <t>Reza Nasri</t>
  </si>
  <si>
    <t>Ricardo Abreu</t>
  </si>
  <si>
    <t>Ricardo Almeida</t>
  </si>
  <si>
    <t>Ricardo Funch</t>
  </si>
  <si>
    <t>Ricardo Lamas</t>
  </si>
  <si>
    <t>Ricardo Romero</t>
  </si>
  <si>
    <t>Ricco Rodriguez</t>
  </si>
  <si>
    <t>Rich Attonito</t>
  </si>
  <si>
    <t>Rich Clementi</t>
  </si>
  <si>
    <t>Rich Franklin</t>
  </si>
  <si>
    <t>Richard Walsh</t>
  </si>
  <si>
    <t>Richardson Moreira</t>
  </si>
  <si>
    <t>Richie Hightower</t>
  </si>
  <si>
    <t>Richie Vaculik</t>
  </si>
  <si>
    <t>Rick Davis</t>
  </si>
  <si>
    <t>Rick Story</t>
  </si>
  <si>
    <t>Riki Fukuda</t>
  </si>
  <si>
    <t>Rin Nakai</t>
  </si>
  <si>
    <t>Roan Carneiro</t>
  </si>
  <si>
    <t>Rob Broughton</t>
  </si>
  <si>
    <t>Rob Font</t>
  </si>
  <si>
    <t>Rob Kimmons</t>
  </si>
  <si>
    <t>Rob MacDonald</t>
  </si>
  <si>
    <t>Rob Yundt</t>
  </si>
  <si>
    <t>Robbie Lawler</t>
  </si>
  <si>
    <t>Robert Drysdale</t>
  </si>
  <si>
    <t>Robert Emerson</t>
  </si>
  <si>
    <t>Robert Lucarelli</t>
  </si>
  <si>
    <t>Robert Whiteford</t>
  </si>
  <si>
    <t>Robert Whittaker</t>
  </si>
  <si>
    <t>Roberto Traven</t>
  </si>
  <si>
    <t>Rocky Lee</t>
  </si>
  <si>
    <t>Rodney Wallace</t>
  </si>
  <si>
    <t>Rodrigo Damm</t>
  </si>
  <si>
    <t>Rodrigo Goiana de Lima</t>
  </si>
  <si>
    <t>Rodrigo Ruas</t>
  </si>
  <si>
    <t>Roger Bowling</t>
  </si>
  <si>
    <t>Roger Gracie</t>
  </si>
  <si>
    <t>Roger Hollett</t>
  </si>
  <si>
    <t>Roger Huerta</t>
  </si>
  <si>
    <t>Roger Narvaez</t>
  </si>
  <si>
    <t>Roger Zapata</t>
  </si>
  <si>
    <t>Roland Delorme</t>
  </si>
  <si>
    <t>Roland Payne</t>
  </si>
  <si>
    <t>Roldan Sangcha-an</t>
  </si>
  <si>
    <t>Rolles Gracie</t>
  </si>
  <si>
    <t>Roman Mitichyan</t>
  </si>
  <si>
    <t>Roman Salazar</t>
  </si>
  <si>
    <t>Romie Aram</t>
  </si>
  <si>
    <t>Ron Faircloth</t>
  </si>
  <si>
    <t>Ron Stallings</t>
  </si>
  <si>
    <t>Ron van Clief</t>
  </si>
  <si>
    <t>Ron Waterman</t>
  </si>
  <si>
    <t>Ronald Jhun</t>
  </si>
  <si>
    <t>Ronaldo Souza</t>
  </si>
  <si>
    <t>Ronda Rousey</t>
  </si>
  <si>
    <t>Ronny Markes</t>
  </si>
  <si>
    <t>Rony Mariano Bezerra</t>
  </si>
  <si>
    <t>Ronys Torres</t>
  </si>
  <si>
    <t>Rory MacDonald</t>
  </si>
  <si>
    <t>Rory Markham</t>
  </si>
  <si>
    <t>Rory Singer</t>
  </si>
  <si>
    <t>Rose Namajunas</t>
  </si>
  <si>
    <t>Rosi Sexton</t>
  </si>
  <si>
    <t>Ross Pearson</t>
  </si>
  <si>
    <t>Ross Pointon</t>
  </si>
  <si>
    <t>Rousimar Palhares</t>
  </si>
  <si>
    <t>Roxanne Modafferi</t>
  </si>
  <si>
    <t>Roy Nelson</t>
  </si>
  <si>
    <t>Royce Alger</t>
  </si>
  <si>
    <t>Royce Gracie</t>
  </si>
  <si>
    <t>Royston Wee</t>
  </si>
  <si>
    <t>Ruan Potts</t>
  </si>
  <si>
    <t>Rudyard Moncayo</t>
  </si>
  <si>
    <t>Ruslan Magomedov</t>
  </si>
  <si>
    <t>Russell Doane</t>
  </si>
  <si>
    <t>Rustam Khabilov</t>
  </si>
  <si>
    <t>Ryan Bader</t>
  </si>
  <si>
    <t>Ryan Benoit</t>
  </si>
  <si>
    <t>Ryan Couture</t>
  </si>
  <si>
    <t>Ryan Hall</t>
  </si>
  <si>
    <t>Ryan Jensen</t>
  </si>
  <si>
    <t>Ryan Jimmo</t>
  </si>
  <si>
    <t>Ryan LaFlare</t>
  </si>
  <si>
    <t>Ryan Madigan</t>
  </si>
  <si>
    <t>Ryan McGillivray</t>
  </si>
  <si>
    <t>Ryan Parker</t>
  </si>
  <si>
    <t>Ryan Roberts</t>
  </si>
  <si>
    <t>Ryan Thomas</t>
  </si>
  <si>
    <t>Ryo Chonan</t>
  </si>
  <si>
    <t>Saeed Hosseini</t>
  </si>
  <si>
    <t>Sage Northcutt</t>
  </si>
  <si>
    <t>Sai Wang</t>
  </si>
  <si>
    <t>Sam Adkins</t>
  </si>
  <si>
    <t>Sam Alvey</t>
  </si>
  <si>
    <t>Sam Fulton</t>
  </si>
  <si>
    <t>Sam Hoger</t>
  </si>
  <si>
    <t>Sam Morgan</t>
  </si>
  <si>
    <t>Sam Sicilia</t>
  </si>
  <si>
    <t>Sam Stout</t>
  </si>
  <si>
    <t>Samy Schiavo</t>
  </si>
  <si>
    <t>Sanae Kikuta</t>
  </si>
  <si>
    <t>Santiago Ponzinibbio</t>
  </si>
  <si>
    <t>Sara McMann</t>
  </si>
  <si>
    <t>Sarah Kaufman</t>
  </si>
  <si>
    <t>Sarah Moras</t>
  </si>
  <si>
    <t>Satoshi Honma</t>
  </si>
  <si>
    <t>Scott Adams</t>
  </si>
  <si>
    <t>Scott Askham</t>
  </si>
  <si>
    <t>Scott Baker</t>
  </si>
  <si>
    <t>Scott Bessac</t>
  </si>
  <si>
    <t>Scott Ferrozzo</t>
  </si>
  <si>
    <t>Scott Fiedler</t>
  </si>
  <si>
    <t>Scott Holtzman</t>
  </si>
  <si>
    <t>Scott Jorgensen</t>
  </si>
  <si>
    <t>Scott Junk</t>
  </si>
  <si>
    <t>Scott Morris</t>
  </si>
  <si>
    <t>Scott Smith</t>
  </si>
  <si>
    <t>Sean Alvarez</t>
  </si>
  <si>
    <t>Sean Daugherty</t>
  </si>
  <si>
    <t>Sean Gannon</t>
  </si>
  <si>
    <t>Sean McCorkle</t>
  </si>
  <si>
    <t>Sean O'Connell</t>
  </si>
  <si>
    <t>Sean Pierson</t>
  </si>
  <si>
    <t>Sean Salmon</t>
  </si>
  <si>
    <t>Sean Sherk</t>
  </si>
  <si>
    <t>Sean Soriano</t>
  </si>
  <si>
    <t>Sean Spencer</t>
  </si>
  <si>
    <t>Sean Strickland</t>
  </si>
  <si>
    <t>Semmy Schilt</t>
  </si>
  <si>
    <t>Seo Hee Ham</t>
  </si>
  <si>
    <t>Sergio Moraes</t>
  </si>
  <si>
    <t>Sergio Pettis</t>
  </si>
  <si>
    <t>Seth Baczynski</t>
  </si>
  <si>
    <t>Seth Petruzelli</t>
  </si>
  <si>
    <t>Shamar Bailey</t>
  </si>
  <si>
    <t>Shamil Abdurakhimov</t>
  </si>
  <si>
    <t>Shane Campbell</t>
  </si>
  <si>
    <t>Shane Carwin</t>
  </si>
  <si>
    <t>Shane del Rosario</t>
  </si>
  <si>
    <t>Shane Howell</t>
  </si>
  <si>
    <t>Shane Nelson</t>
  </si>
  <si>
    <t>Shane Primm</t>
  </si>
  <si>
    <t>Shane Roller</t>
  </si>
  <si>
    <t>Shannon Gugerty</t>
  </si>
  <si>
    <t>Shawn Jordan</t>
  </si>
  <si>
    <t>Shayna Baszler</t>
  </si>
  <si>
    <t>Sheila Gaff</t>
  </si>
  <si>
    <t>Sheldon Westcott</t>
  </si>
  <si>
    <t>Sherman Pendergarst</t>
  </si>
  <si>
    <t>Shinsho Anzai</t>
  </si>
  <si>
    <t>Shonie Carter</t>
  </si>
  <si>
    <t>Shunichi Shimizu</t>
  </si>
  <si>
    <t>Simeon Thoresen</t>
  </si>
  <si>
    <t>Sione Latu</t>
  </si>
  <si>
    <t>Sirwan Kakai</t>
  </si>
  <si>
    <t>Siyar Bahadurzada</t>
  </si>
  <si>
    <t>Soa Palelei</t>
  </si>
  <si>
    <t>Solomon Hutcherson</t>
  </si>
  <si>
    <t>Spencer Fisher</t>
  </si>
  <si>
    <t>Stanislav Nedkov</t>
  </si>
  <si>
    <t>Stefan Struve</t>
  </si>
  <si>
    <t>Stephan Bonnar</t>
  </si>
  <si>
    <t>Stephen Bass</t>
  </si>
  <si>
    <t>Stephen Thompson</t>
  </si>
  <si>
    <t>Steve Berger</t>
  </si>
  <si>
    <t>Steve Bosse</t>
  </si>
  <si>
    <t>Steve Bruno</t>
  </si>
  <si>
    <t>Steve Byrnes</t>
  </si>
  <si>
    <t>Steve Cantwell</t>
  </si>
  <si>
    <t>Steve Jennum</t>
  </si>
  <si>
    <t>Steve Judson</t>
  </si>
  <si>
    <t>Steve Kennedy</t>
  </si>
  <si>
    <t>Steve Lopez</t>
  </si>
  <si>
    <t>Steve Montgomery</t>
  </si>
  <si>
    <t>Steve Nelmark</t>
  </si>
  <si>
    <t>Steve Steinbeiss</t>
  </si>
  <si>
    <t>Steve Vigneault</t>
  </si>
  <si>
    <t>Steven Graham</t>
  </si>
  <si>
    <t>Steven Lynch</t>
  </si>
  <si>
    <t>Steven Ray</t>
  </si>
  <si>
    <t>Steven Siler</t>
  </si>
  <si>
    <t>Stipe Miocic</t>
  </si>
  <si>
    <t>Sultan Aliev</t>
  </si>
  <si>
    <t>Tae Hyun Bang</t>
  </si>
  <si>
    <t>Tai Bowden</t>
  </si>
  <si>
    <t>Takanori Gomi</t>
  </si>
  <si>
    <t>Takenori Sato</t>
  </si>
  <si>
    <t>Takeya Mizugaki</t>
  </si>
  <si>
    <t>Tamdan McCrory</t>
  </si>
  <si>
    <t>Tarec Saffiedine</t>
  </si>
  <si>
    <t>Tateki Matsuda</t>
  </si>
  <si>
    <t>Tatsuya Kawajiri</t>
  </si>
  <si>
    <t>Taylor Lapilus</t>
  </si>
  <si>
    <t>Tecia Torres</t>
  </si>
  <si>
    <t>Tedd Williams</t>
  </si>
  <si>
    <t>Teemu Packalen</t>
  </si>
  <si>
    <t>Teila Tuli</t>
  </si>
  <si>
    <t>Terry Etim</t>
  </si>
  <si>
    <t>Terry Martin</t>
  </si>
  <si>
    <t>Teruto Ishihara</t>
  </si>
  <si>
    <t>Thaddeus Luster</t>
  </si>
  <si>
    <t>Thales Leites</t>
  </si>
  <si>
    <t>Thiago Alves</t>
  </si>
  <si>
    <t>Thiago de Oliveira Perpetuo</t>
  </si>
  <si>
    <t>Thiago Santos</t>
  </si>
  <si>
    <t>Thiago Silva</t>
  </si>
  <si>
    <t>Thiago Tavares</t>
  </si>
  <si>
    <t>Thomas Almeida</t>
  </si>
  <si>
    <t>Thomas Ramirez</t>
  </si>
  <si>
    <t>Tiago dos Santos e Silva</t>
  </si>
  <si>
    <t>Tiequan Zhang</t>
  </si>
  <si>
    <t>Tiki Ghosn</t>
  </si>
  <si>
    <t>Tim Boetsch</t>
  </si>
  <si>
    <t>Tim Credeur</t>
  </si>
  <si>
    <t>Tim Elliott</t>
  </si>
  <si>
    <t>Tim Gorman</t>
  </si>
  <si>
    <t>Tim Hague</t>
  </si>
  <si>
    <t>Tim Kennedy</t>
  </si>
  <si>
    <t>Tim Lajcik</t>
  </si>
  <si>
    <t>Tim McKenzie</t>
  </si>
  <si>
    <t>Tim Means</t>
  </si>
  <si>
    <t>Tim Sylvia</t>
  </si>
  <si>
    <t>Timothy Johnson</t>
  </si>
  <si>
    <t>Tina Lahdemaki</t>
  </si>
  <si>
    <t>Tito Ortiz</t>
  </si>
  <si>
    <t>Todd Brown</t>
  </si>
  <si>
    <t>Todd Butler</t>
  </si>
  <si>
    <t>Todd Duffee</t>
  </si>
  <si>
    <t>Todd Medina</t>
  </si>
  <si>
    <t>Tom Blackledge</t>
  </si>
  <si>
    <t>Tom Breese</t>
  </si>
  <si>
    <t>Tom DeBlass</t>
  </si>
  <si>
    <t>Tom Egan</t>
  </si>
  <si>
    <t>Tom Lawlor</t>
  </si>
  <si>
    <t>Tom Murphy</t>
  </si>
  <si>
    <t>Tom Niinimaki</t>
  </si>
  <si>
    <t>Tom Speer</t>
  </si>
  <si>
    <t>Tom Watson</t>
  </si>
  <si>
    <t>Tomasz Drwal</t>
  </si>
  <si>
    <t>Tommy Hayden</t>
  </si>
  <si>
    <t>Tony DeSouza</t>
  </si>
  <si>
    <t>Tony Ferguson</t>
  </si>
  <si>
    <t>Tony Fryklund</t>
  </si>
  <si>
    <t>Tony Halme</t>
  </si>
  <si>
    <t>Tony Martin</t>
  </si>
  <si>
    <t>Tony Petarra</t>
  </si>
  <si>
    <t>Tony Sims</t>
  </si>
  <si>
    <t>Tor Troeng</t>
  </si>
  <si>
    <t>Townsend Saunders</t>
  </si>
  <si>
    <t>Tra Telligman</t>
  </si>
  <si>
    <t>Travis Browne</t>
  </si>
  <si>
    <t>Travis Fulton</t>
  </si>
  <si>
    <t>Travis Lutter</t>
  </si>
  <si>
    <t>Travis Wiuff</t>
  </si>
  <si>
    <t>Trent Jenkins</t>
  </si>
  <si>
    <t>Trevor Prangley</t>
  </si>
  <si>
    <t>Trevor Smith</t>
  </si>
  <si>
    <t>Troy Mandaloniz</t>
  </si>
  <si>
    <t>Tyler Toner</t>
  </si>
  <si>
    <t>Tyron Woodley</t>
  </si>
  <si>
    <t>Tyrone Roberts</t>
  </si>
  <si>
    <t>Tyson Griffin</t>
  </si>
  <si>
    <t>Ulysses Gomez</t>
  </si>
  <si>
    <t>Uriah Hall</t>
  </si>
  <si>
    <t>Urijah Faber</t>
  </si>
  <si>
    <t>Vagner Rocha</t>
  </si>
  <si>
    <t>Valentina Shevchenko</t>
  </si>
  <si>
    <t>Valeri Ignatov</t>
  </si>
  <si>
    <t>Valerie Letourneau</t>
  </si>
  <si>
    <t>Valmir Lazaro</t>
  </si>
  <si>
    <t>Vaughan Lee</t>
  </si>
  <si>
    <t>Vernon Ramos</t>
  </si>
  <si>
    <t>Vernon White</t>
  </si>
  <si>
    <t>Vicente Luque</t>
  </si>
  <si>
    <t>Victor Valimaki</t>
  </si>
  <si>
    <t>Vik Grujic</t>
  </si>
  <si>
    <t>Viktor Pesta</t>
  </si>
  <si>
    <t>Vinc Pichel</t>
  </si>
  <si>
    <t>Vinny Magalhaes</t>
  </si>
  <si>
    <t>Viscardi Andrade</t>
  </si>
  <si>
    <t>Vitor Belfort</t>
  </si>
  <si>
    <t>Vitor Miranda</t>
  </si>
  <si>
    <t>Vladimir Matyushenko</t>
  </si>
  <si>
    <t>Wade Shipp</t>
  </si>
  <si>
    <t>Wagner Campos</t>
  </si>
  <si>
    <t>Wagner Prado</t>
  </si>
  <si>
    <t>Walel Watson</t>
  </si>
  <si>
    <t>Wallid Ismail</t>
  </si>
  <si>
    <t>Walt Harris</t>
  </si>
  <si>
    <t>Wanderlei Silva</t>
  </si>
  <si>
    <t>Warlley Alves</t>
  </si>
  <si>
    <t>Waylon Lowe</t>
  </si>
  <si>
    <t>Wendell de Oliveira Marques</t>
  </si>
  <si>
    <t>Wes Albritton</t>
  </si>
  <si>
    <t>Wes Combs</t>
  </si>
  <si>
    <t>Wes Sims</t>
  </si>
  <si>
    <t>Wesley Correira</t>
  </si>
  <si>
    <t>Will Campuzano</t>
  </si>
  <si>
    <t>Will Chope</t>
  </si>
  <si>
    <t>Willamy Freire</t>
  </si>
  <si>
    <t>William Macario</t>
  </si>
  <si>
    <t>Willie Gates</t>
  </si>
  <si>
    <t>Wilson Gouveia</t>
  </si>
  <si>
    <t>Wilson Reis</t>
  </si>
  <si>
    <t>Xavier Foupa-Pokam</t>
  </si>
  <si>
    <t>Yair Rodriguez</t>
  </si>
  <si>
    <t>Yan Cabral</t>
  </si>
  <si>
    <t>Yancy Medeiros</t>
  </si>
  <si>
    <t>Yaotzin Meza</t>
  </si>
  <si>
    <t>Yasuhiro Urushitani</t>
  </si>
  <si>
    <t>Yoel Romero</t>
  </si>
  <si>
    <t>Yoislandy Izquierdo</t>
  </si>
  <si>
    <t>Yoji Anjo</t>
  </si>
  <si>
    <t>Yosdenis Cedeno</t>
  </si>
  <si>
    <t>Yoshihiro Akiyama</t>
  </si>
  <si>
    <t>Yoshiyuki Yoshida</t>
  </si>
  <si>
    <t>Yui Chul Nam</t>
  </si>
  <si>
    <t>Yuki Kondo</t>
  </si>
  <si>
    <t>Yuki Sasaki</t>
  </si>
  <si>
    <t>Yuri Vaulin</t>
  </si>
  <si>
    <t>Yuri Villefort</t>
  </si>
  <si>
    <t>Yushin Okami</t>
  </si>
  <si>
    <t>Yusuke Kasuya</t>
  </si>
  <si>
    <t>Yuta Sasaki</t>
  </si>
  <si>
    <t>Yves Edwards</t>
  </si>
  <si>
    <t>Yves Jabouin</t>
  </si>
  <si>
    <t>Zach Light</t>
  </si>
  <si>
    <t>Zach Makovsky</t>
  </si>
  <si>
    <t>Zak Cummings</t>
  </si>
  <si>
    <t>Zane Frazier</t>
  </si>
  <si>
    <t>Zhikui Yao</t>
  </si>
  <si>
    <t>Zubaira Tukhugov</t>
  </si>
  <si>
    <t>Rafael Cavalcante</t>
  </si>
  <si>
    <t>K.J. Noons</t>
  </si>
  <si>
    <t>T.J. Dillashaw</t>
  </si>
  <si>
    <t>Joseph Duffy</t>
  </si>
  <si>
    <t>Rafael dos Anjos</t>
  </si>
  <si>
    <t>Junior dos Santos</t>
  </si>
  <si>
    <t>C.B. Dollaway</t>
  </si>
  <si>
    <t>Freddy Serrano</t>
  </si>
  <si>
    <t>Dong Hyun  Kim</t>
  </si>
  <si>
    <t>Michel Richard Cunha dos Prazeres</t>
  </si>
  <si>
    <t>Jon delos Reyes</t>
  </si>
  <si>
    <t>Antonio Rodrigo Nogueira</t>
  </si>
  <si>
    <t>Manny Gamburyan</t>
  </si>
  <si>
    <t>Antonio dos Santos Jr.</t>
  </si>
  <si>
    <t>Josh Sampo</t>
  </si>
  <si>
    <t>Quinton Jackson</t>
  </si>
  <si>
    <t>Jim Hettes</t>
  </si>
  <si>
    <t>Robbie Peralta</t>
  </si>
  <si>
    <t>Jorge Antonio Cezario de Oliveira</t>
  </si>
  <si>
    <t>Renato Carneiro</t>
  </si>
  <si>
    <t>Alexey Oleinik</t>
  </si>
  <si>
    <t>Juan Manuel Puig</t>
  </si>
  <si>
    <t>Claudio Henrique da Silva</t>
  </si>
  <si>
    <t>Rodolfo Rubio Perez</t>
  </si>
  <si>
    <t>Wagner Silva Gomes</t>
  </si>
  <si>
    <t>Anying Wang</t>
  </si>
  <si>
    <t>B.J. Penn</t>
  </si>
  <si>
    <t>Dan Spohn</t>
  </si>
  <si>
    <t>T.J. Waldburger</t>
  </si>
  <si>
    <t>T.J. Grant</t>
  </si>
  <si>
    <t>Matt Riddle</t>
  </si>
  <si>
    <t>C.J. Keith</t>
  </si>
  <si>
    <t>Anistavio Medeiros de Figueiredo</t>
  </si>
  <si>
    <t>T.J. O'Brien</t>
  </si>
  <si>
    <t>Sako Chivitchyan</t>
  </si>
  <si>
    <t>Vinicius Kappke de Queiroz</t>
  </si>
  <si>
    <t>Roli Delgado</t>
  </si>
  <si>
    <t>Junie Allen Browning</t>
  </si>
  <si>
    <t>War Machine</t>
  </si>
  <si>
    <t>Edwin Dewees</t>
  </si>
  <si>
    <t>Mike Van Arsdale</t>
  </si>
  <si>
    <t>Rich Crunkilton</t>
  </si>
  <si>
    <t>Tsuyoshi Kosaka</t>
  </si>
  <si>
    <t>LaVerne Clark</t>
  </si>
  <si>
    <t>Kazuo Takahashi</t>
  </si>
  <si>
    <t/>
  </si>
  <si>
    <t>Search</t>
  </si>
  <si>
    <t>STANCE2</t>
  </si>
  <si>
    <t>Stance</t>
  </si>
  <si>
    <t>STANCE1</t>
  </si>
  <si>
    <t>Stance (1 = Southpaw)</t>
  </si>
  <si>
    <t>Division</t>
  </si>
  <si>
    <t>Weight Class</t>
  </si>
  <si>
    <t>print(mlogit_res.predict([10,25,185,75,70,10,0.8,2,2,2.1,1,-3,10,2,5,1,1,1,1,0.4,10,1]))</t>
  </si>
  <si>
    <t>wintype</t>
  </si>
  <si>
    <t>winloss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</si>
</sst>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00000"/>
    <numFmt numFmtId="166" formatCode="0.000"/>
    <numFmt numFmtId="167" formatCode="&quot;Decision&quot;\ 0%"/>
    <numFmt numFmtId="168" formatCode="&quot;TKO/KO&quot;\ 0%"/>
    <numFmt numFmtId="169" formatCode="&quot;Submission&quot;\ 0%"/>
    <numFmt numFmtId="170" formatCode="0.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2"/>
      <color rgb="FF000000"/>
      <name val="Calibri"/>
    </font>
    <font>
      <sz val="12"/>
      <color theme="1"/>
      <name val="Calibri"/>
    </font>
    <font>
      <b/>
      <i/>
      <sz val="12"/>
      <color rgb="FFFF0000"/>
      <name val="Calibri"/>
    </font>
    <font>
      <sz val="12"/>
      <color rgb="FF000000"/>
      <name val="Calibri"/>
    </font>
    <font>
      <sz val="14"/>
      <color rgb="FF000000"/>
      <name val="Courier New"/>
    </font>
    <font>
      <b/>
      <sz val="12"/>
      <color rgb="FF7030A0"/>
      <name val="Calibri"/>
    </font>
    <font>
      <b/>
      <sz val="12"/>
      <color theme="1"/>
      <name val="Calibri"/>
    </font>
    <font>
      <b/>
      <sz val="12"/>
      <color theme="1"/>
      <name val="Calibri"/>
      <family val="2"/>
      <scheme val="minor"/>
    </font>
    <font>
      <b/>
      <sz val="12"/>
      <color rgb="FF000000"/>
      <name val="Helvetica Neue"/>
    </font>
    <font>
      <sz val="12"/>
      <color rgb="FF000000"/>
      <name val="Helvetica Neue"/>
    </font>
    <font>
      <sz val="12"/>
      <color rgb="FF000000"/>
      <name val="Courier New"/>
    </font>
    <font>
      <b/>
      <sz val="12"/>
      <color theme="8"/>
      <name val="Courier New"/>
    </font>
    <font>
      <b/>
      <u/>
      <sz val="12"/>
      <color rgb="FF000000"/>
      <name val="Helvetica Neue"/>
    </font>
    <font>
      <b/>
      <sz val="12"/>
      <color rgb="FFFF0000"/>
      <name val="Calibri"/>
      <scheme val="minor"/>
    </font>
    <font>
      <b/>
      <sz val="14"/>
      <color rgb="FF000000"/>
      <name val="Helvetica Neue"/>
    </font>
    <font>
      <sz val="14"/>
      <color rgb="FF000000"/>
      <name val="Helvetica Neue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Helvetica Neue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2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9" fontId="5" fillId="0" borderId="0" xfId="1" applyFont="1"/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right" vertical="center"/>
    </xf>
    <xf numFmtId="164" fontId="7" fillId="0" borderId="0" xfId="0" quotePrefix="1" applyNumberFormat="1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8" fillId="0" borderId="0" xfId="0" applyFont="1"/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10" fillId="4" borderId="0" xfId="0" applyFont="1" applyFill="1"/>
    <xf numFmtId="9" fontId="10" fillId="4" borderId="0" xfId="1" applyFont="1" applyFill="1" applyAlignment="1">
      <alignment horizontal="center" vertical="center"/>
    </xf>
    <xf numFmtId="9" fontId="10" fillId="4" borderId="0" xfId="1" applyFont="1" applyFill="1"/>
    <xf numFmtId="9" fontId="0" fillId="0" borderId="11" xfId="1" applyNumberFormat="1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4" fontId="5" fillId="0" borderId="11" xfId="0" applyNumberFormat="1" applyFont="1" applyBorder="1"/>
    <xf numFmtId="164" fontId="5" fillId="0" borderId="11" xfId="0" applyNumberFormat="1" applyFont="1" applyBorder="1" applyAlignment="1">
      <alignment horizontal="right"/>
    </xf>
    <xf numFmtId="9" fontId="5" fillId="0" borderId="11" xfId="1" applyFont="1" applyBorder="1"/>
    <xf numFmtId="166" fontId="7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166" fontId="7" fillId="0" borderId="11" xfId="0" quotePrefix="1" applyNumberFormat="1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12" fillId="0" borderId="0" xfId="0" applyFont="1"/>
    <xf numFmtId="0" fontId="0" fillId="0" borderId="0" xfId="0" applyFont="1"/>
    <xf numFmtId="0" fontId="0" fillId="0" borderId="11" xfId="0" applyFont="1" applyBorder="1" applyAlignment="1">
      <alignment horizontal="center"/>
    </xf>
    <xf numFmtId="0" fontId="15" fillId="0" borderId="8" xfId="0" applyFont="1" applyBorder="1"/>
    <xf numFmtId="0" fontId="15" fillId="0" borderId="14" xfId="0" applyFont="1" applyBorder="1"/>
    <xf numFmtId="0" fontId="15" fillId="0" borderId="9" xfId="0" applyFont="1" applyBorder="1"/>
    <xf numFmtId="0" fontId="0" fillId="0" borderId="11" xfId="0" applyFont="1" applyBorder="1"/>
    <xf numFmtId="0" fontId="5" fillId="0" borderId="0" xfId="0" applyFont="1" applyFill="1"/>
    <xf numFmtId="0" fontId="4" fillId="0" borderId="0" xfId="0" applyFont="1" applyFill="1" applyAlignment="1">
      <alignment horizontal="center"/>
    </xf>
    <xf numFmtId="166" fontId="13" fillId="0" borderId="11" xfId="0" applyNumberFormat="1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166" fontId="13" fillId="0" borderId="11" xfId="0" applyNumberFormat="1" applyFont="1" applyFill="1" applyBorder="1" applyAlignment="1">
      <alignment horizontal="center"/>
    </xf>
    <xf numFmtId="0" fontId="5" fillId="0" borderId="5" xfId="0" applyFont="1" applyBorder="1"/>
    <xf numFmtId="0" fontId="0" fillId="0" borderId="5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/>
    </xf>
    <xf numFmtId="11" fontId="0" fillId="0" borderId="0" xfId="0" applyNumberFormat="1" applyFont="1"/>
    <xf numFmtId="0" fontId="16" fillId="0" borderId="0" xfId="0" applyFont="1" applyAlignment="1">
      <alignment horizontal="center"/>
    </xf>
    <xf numFmtId="0" fontId="12" fillId="0" borderId="17" xfId="0" applyFont="1" applyBorder="1"/>
    <xf numFmtId="0" fontId="13" fillId="0" borderId="25" xfId="0" applyFont="1" applyBorder="1"/>
    <xf numFmtId="0" fontId="0" fillId="0" borderId="18" xfId="0" applyFont="1" applyBorder="1"/>
    <xf numFmtId="0" fontId="12" fillId="0" borderId="19" xfId="0" applyFont="1" applyBorder="1"/>
    <xf numFmtId="0" fontId="13" fillId="0" borderId="11" xfId="0" applyFont="1" applyBorder="1"/>
    <xf numFmtId="0" fontId="0" fillId="0" borderId="20" xfId="0" applyFont="1" applyBorder="1"/>
    <xf numFmtId="0" fontId="14" fillId="0" borderId="0" xfId="0" applyFont="1"/>
    <xf numFmtId="0" fontId="12" fillId="0" borderId="21" xfId="0" applyFont="1" applyBorder="1"/>
    <xf numFmtId="0" fontId="13" fillId="0" borderId="26" xfId="0" applyFont="1" applyBorder="1"/>
    <xf numFmtId="0" fontId="0" fillId="0" borderId="22" xfId="0" applyFont="1" applyBorder="1"/>
    <xf numFmtId="0" fontId="12" fillId="0" borderId="23" xfId="0" applyFont="1" applyBorder="1"/>
    <xf numFmtId="0" fontId="0" fillId="0" borderId="24" xfId="0" applyFont="1" applyBorder="1"/>
    <xf numFmtId="0" fontId="12" fillId="0" borderId="0" xfId="0" applyFont="1" applyFill="1" applyBorder="1"/>
    <xf numFmtId="9" fontId="0" fillId="0" borderId="0" xfId="0" applyNumberFormat="1" applyFont="1"/>
    <xf numFmtId="0" fontId="0" fillId="0" borderId="1" xfId="0" applyFont="1" applyFill="1" applyBorder="1"/>
    <xf numFmtId="0" fontId="12" fillId="0" borderId="15" xfId="0" applyFont="1" applyFill="1" applyBorder="1"/>
    <xf numFmtId="9" fontId="0" fillId="0" borderId="15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0" fillId="0" borderId="12" xfId="0" applyFont="1" applyFill="1" applyBorder="1"/>
    <xf numFmtId="9" fontId="0" fillId="0" borderId="0" xfId="1" applyFon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3" xfId="0" applyFont="1" applyFill="1" applyBorder="1"/>
    <xf numFmtId="0" fontId="12" fillId="0" borderId="10" xfId="0" applyFont="1" applyFill="1" applyBorder="1"/>
    <xf numFmtId="9" fontId="0" fillId="0" borderId="10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15" xfId="0" applyFont="1" applyBorder="1"/>
    <xf numFmtId="0" fontId="0" fillId="0" borderId="2" xfId="0" applyFont="1" applyBorder="1"/>
    <xf numFmtId="9" fontId="0" fillId="0" borderId="0" xfId="0" applyNumberFormat="1" applyFont="1" applyBorder="1"/>
    <xf numFmtId="9" fontId="0" fillId="0" borderId="10" xfId="0" applyNumberFormat="1" applyFont="1" applyBorder="1"/>
    <xf numFmtId="9" fontId="0" fillId="0" borderId="13" xfId="0" applyNumberFormat="1" applyFont="1" applyBorder="1"/>
    <xf numFmtId="9" fontId="0" fillId="0" borderId="4" xfId="0" applyNumberFormat="1" applyFont="1" applyBorder="1"/>
    <xf numFmtId="0" fontId="0" fillId="0" borderId="14" xfId="0" applyBorder="1" applyAlignment="1">
      <alignment horizontal="center"/>
    </xf>
    <xf numFmtId="0" fontId="0" fillId="0" borderId="0" xfId="0" applyBorder="1"/>
    <xf numFmtId="167" fontId="0" fillId="0" borderId="8" xfId="1" applyNumberFormat="1" applyFont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169" fontId="0" fillId="0" borderId="9" xfId="1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0" fillId="0" borderId="12" xfId="0" applyFont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11" xfId="0" applyFont="1" applyFill="1" applyBorder="1" applyAlignment="1">
      <alignment horizontal="center"/>
    </xf>
    <xf numFmtId="9" fontId="11" fillId="0" borderId="11" xfId="1" applyFont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0" fillId="0" borderId="0" xfId="0" applyNumberFormat="1" applyBorder="1"/>
    <xf numFmtId="9" fontId="0" fillId="0" borderId="0" xfId="1" applyFont="1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170" fontId="0" fillId="0" borderId="1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0" fontId="18" fillId="0" borderId="0" xfId="0" applyFont="1"/>
    <xf numFmtId="0" fontId="19" fillId="0" borderId="0" xfId="0" applyFont="1"/>
    <xf numFmtId="0" fontId="0" fillId="7" borderId="22" xfId="0" applyFont="1" applyFill="1" applyBorder="1"/>
    <xf numFmtId="0" fontId="0" fillId="7" borderId="0" xfId="0" applyFont="1" applyFill="1"/>
    <xf numFmtId="0" fontId="0" fillId="0" borderId="0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11" fillId="8" borderId="27" xfId="0" applyFont="1" applyFill="1" applyBorder="1" applyAlignment="1">
      <alignment horizontal="center"/>
    </xf>
    <xf numFmtId="0" fontId="11" fillId="5" borderId="27" xfId="0" applyFont="1" applyFill="1" applyBorder="1" applyAlignment="1">
      <alignment horizontal="center"/>
    </xf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7" fontId="0" fillId="0" borderId="1" xfId="0" applyNumberFormat="1" applyBorder="1"/>
    <xf numFmtId="168" fontId="0" fillId="0" borderId="15" xfId="0" applyNumberFormat="1" applyBorder="1"/>
    <xf numFmtId="169" fontId="0" fillId="0" borderId="2" xfId="0" applyNumberFormat="1" applyBorder="1"/>
    <xf numFmtId="167" fontId="0" fillId="0" borderId="12" xfId="0" applyNumberFormat="1" applyBorder="1"/>
    <xf numFmtId="168" fontId="0" fillId="0" borderId="0" xfId="0" applyNumberFormat="1" applyBorder="1"/>
    <xf numFmtId="169" fontId="0" fillId="0" borderId="13" xfId="0" applyNumberFormat="1" applyBorder="1"/>
    <xf numFmtId="0" fontId="0" fillId="0" borderId="5" xfId="0" applyFill="1" applyBorder="1" applyAlignment="1">
      <alignment horizontal="right"/>
    </xf>
    <xf numFmtId="0" fontId="0" fillId="0" borderId="7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29" xfId="0" applyBorder="1" applyAlignment="1">
      <alignment horizontal="center" vertical="center"/>
    </xf>
    <xf numFmtId="0" fontId="21" fillId="2" borderId="8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/>
    </xf>
    <xf numFmtId="0" fontId="0" fillId="2" borderId="5" xfId="0" applyFont="1" applyFill="1" applyBorder="1"/>
    <xf numFmtId="0" fontId="12" fillId="2" borderId="19" xfId="0" applyFont="1" applyFill="1" applyBorder="1"/>
    <xf numFmtId="0" fontId="13" fillId="2" borderId="11" xfId="0" applyFont="1" applyFill="1" applyBorder="1"/>
    <xf numFmtId="0" fontId="0" fillId="2" borderId="20" xfId="0" applyFont="1" applyFill="1" applyBorder="1"/>
    <xf numFmtId="0" fontId="21" fillId="2" borderId="11" xfId="0" applyFont="1" applyFill="1" applyBorder="1" applyAlignment="1">
      <alignment horizontal="center"/>
    </xf>
    <xf numFmtId="166" fontId="22" fillId="2" borderId="11" xfId="0" applyNumberFormat="1" applyFont="1" applyFill="1" applyBorder="1" applyAlignment="1">
      <alignment horizontal="center"/>
    </xf>
    <xf numFmtId="0" fontId="20" fillId="0" borderId="11" xfId="0" applyFont="1" applyBorder="1"/>
    <xf numFmtId="0" fontId="0" fillId="0" borderId="0" xfId="0" applyFont="1" applyFill="1"/>
    <xf numFmtId="0" fontId="12" fillId="0" borderId="0" xfId="0" applyFont="1" applyFill="1"/>
    <xf numFmtId="0" fontId="0" fillId="9" borderId="11" xfId="0" applyFont="1" applyFill="1" applyBorder="1" applyAlignment="1">
      <alignment horizontal="center"/>
    </xf>
    <xf numFmtId="166" fontId="13" fillId="9" borderId="11" xfId="0" applyNumberFormat="1" applyFont="1" applyFill="1" applyBorder="1" applyAlignment="1">
      <alignment horizontal="center"/>
    </xf>
    <xf numFmtId="167" fontId="0" fillId="0" borderId="0" xfId="0" applyNumberFormat="1" applyBorder="1"/>
    <xf numFmtId="9" fontId="0" fillId="0" borderId="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167" fontId="0" fillId="0" borderId="15" xfId="0" applyNumberFormat="1" applyBorder="1"/>
    <xf numFmtId="9" fontId="0" fillId="0" borderId="2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1422400</xdr:colOff>
      <xdr:row>3</xdr:row>
      <xdr:rowOff>50800</xdr:rowOff>
    </xdr:from>
    <xdr:to>
      <xdr:col>11</xdr:col>
      <xdr:colOff>1841500</xdr:colOff>
      <xdr:row>6</xdr:row>
      <xdr:rowOff>12700</xdr:rowOff>
    </xdr:to>
    <xdr:sp macro="[0]!Paste1" textlink="">
      <xdr:nvSpPr>
        <xdr:cNvPr id="2" name="Oval 1"/>
        <xdr:cNvSpPr/>
      </xdr:nvSpPr>
      <xdr:spPr>
        <a:xfrm>
          <a:off x="11988800" y="673100"/>
          <a:ext cx="419100" cy="4191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11</xdr:col>
      <xdr:colOff>1993900</xdr:colOff>
      <xdr:row>3</xdr:row>
      <xdr:rowOff>50800</xdr:rowOff>
    </xdr:from>
    <xdr:to>
      <xdr:col>12</xdr:col>
      <xdr:colOff>190500</xdr:colOff>
      <xdr:row>6</xdr:row>
      <xdr:rowOff>12700</xdr:rowOff>
    </xdr:to>
    <xdr:sp macro="[0]!Paste2" textlink="">
      <xdr:nvSpPr>
        <xdr:cNvPr id="3" name="Oval 2"/>
        <xdr:cNvSpPr/>
      </xdr:nvSpPr>
      <xdr:spPr>
        <a:xfrm>
          <a:off x="12560300" y="673100"/>
          <a:ext cx="419100" cy="4191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12</xdr:col>
      <xdr:colOff>317500</xdr:colOff>
      <xdr:row>3</xdr:row>
      <xdr:rowOff>50800</xdr:rowOff>
    </xdr:from>
    <xdr:to>
      <xdr:col>12</xdr:col>
      <xdr:colOff>736600</xdr:colOff>
      <xdr:row>6</xdr:row>
      <xdr:rowOff>12700</xdr:rowOff>
    </xdr:to>
    <xdr:sp macro="[0]!reset" textlink="">
      <xdr:nvSpPr>
        <xdr:cNvPr id="4" name="Oval 3"/>
        <xdr:cNvSpPr/>
      </xdr:nvSpPr>
      <xdr:spPr>
        <a:xfrm>
          <a:off x="13106400" y="673100"/>
          <a:ext cx="419100" cy="4191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609601</xdr:colOff>
      <xdr:row>3</xdr:row>
      <xdr:rowOff>67734</xdr:rowOff>
    </xdr:from>
    <xdr:to>
      <xdr:col>16</xdr:col>
      <xdr:colOff>355600</xdr:colOff>
      <xdr:row>6</xdr:row>
      <xdr:rowOff>33867</xdr:rowOff>
    </xdr:to>
    <xdr:sp macro="[0]!process" textlink="">
      <xdr:nvSpPr>
        <xdr:cNvPr id="5" name="Rounded Rectangle 4"/>
        <xdr:cNvSpPr/>
      </xdr:nvSpPr>
      <xdr:spPr>
        <a:xfrm>
          <a:off x="12954001" y="694267"/>
          <a:ext cx="846666" cy="423333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A25"/>
  <sheetViews>
    <sheetView showGridLines="0" tabSelected="1" topLeftCell="B1" workbookViewId="0">
      <selection activeCell="K7" sqref="K7"/>
    </sheetView>
  </sheetViews>
  <sheetFormatPr baseColWidth="10" defaultRowHeight="16" x14ac:dyDescent="0.2"/>
  <cols>
    <col min="1" max="1" width="0" hidden="1" customWidth="1"/>
    <col min="2" max="4" width="5.5" customWidth="1"/>
    <col min="5" max="5" width="18.5" style="76" customWidth="1"/>
    <col min="6" max="6" width="1.5" customWidth="1"/>
    <col min="7" max="7" width="29.1640625" bestFit="1" customWidth="1"/>
    <col min="8" max="8" width="1.5" customWidth="1"/>
    <col min="9" max="9" width="18.5" style="76" customWidth="1"/>
    <col min="10" max="11" width="4" customWidth="1"/>
    <col min="12" max="12" width="29.1640625" bestFit="1" customWidth="1"/>
    <col min="13" max="13" width="17.33203125" customWidth="1"/>
    <col min="15" max="15" width="16.33203125" bestFit="1" customWidth="1"/>
    <col min="16" max="16" width="14.33203125" bestFit="1" customWidth="1"/>
    <col min="17" max="17" width="15.83203125" bestFit="1" customWidth="1"/>
    <col min="18" max="19" width="15.83203125" customWidth="1"/>
    <col min="22" max="22" width="13.33203125" bestFit="1" customWidth="1"/>
    <col min="23" max="23" width="11.5" bestFit="1" customWidth="1"/>
    <col min="24" max="24" width="14.1640625" bestFit="1" customWidth="1"/>
    <col min="25" max="25" width="13.33203125" bestFit="1" customWidth="1"/>
    <col min="26" max="26" width="11.5" bestFit="1" customWidth="1"/>
    <col min="27" max="27" width="14.1640625" bestFit="1" customWidth="1"/>
  </cols>
  <sheetData>
    <row r="1" spans="1:27" x14ac:dyDescent="0.2">
      <c r="A1" t="str">
        <f>VLOOKUP(G5,'VAR CONTROL'!E44:F51,2,FALSE)</f>
        <v>Light</v>
      </c>
    </row>
    <row r="2" spans="1:27" ht="17" thickBot="1" x14ac:dyDescent="0.25"/>
    <row r="3" spans="1:27" x14ac:dyDescent="0.2">
      <c r="E3" s="148" t="s">
        <v>56</v>
      </c>
      <c r="I3" s="149" t="s">
        <v>57</v>
      </c>
      <c r="T3" s="150">
        <f t="shared" ref="T3" si="0">$E$21</f>
        <v>0.58206842142219872</v>
      </c>
      <c r="U3" s="150">
        <f t="shared" ref="U3" si="1">$I$21</f>
        <v>0.41793157857780133</v>
      </c>
      <c r="V3" s="151">
        <f>$E$23</f>
        <v>0.28403193093657653</v>
      </c>
      <c r="W3" s="152">
        <f>$E$24</f>
        <v>0.67672897294947087</v>
      </c>
      <c r="X3" s="153">
        <f>$E$25</f>
        <v>3.9239096113952543E-2</v>
      </c>
      <c r="Y3" s="151">
        <f>$I$23</f>
        <v>0.52131264497966134</v>
      </c>
      <c r="Z3" s="152">
        <f>$I$24</f>
        <v>0.42686789434135985</v>
      </c>
      <c r="AA3" s="153">
        <f>$I$25</f>
        <v>5.1819460678979003E-2</v>
      </c>
    </row>
    <row r="4" spans="1:27" ht="7" customHeight="1" thickBot="1" x14ac:dyDescent="0.25">
      <c r="E4" s="115"/>
      <c r="I4" s="115"/>
    </row>
    <row r="5" spans="1:27" ht="22" customHeight="1" thickBot="1" x14ac:dyDescent="0.25">
      <c r="E5" s="163" t="s">
        <v>358</v>
      </c>
      <c r="G5" s="126" t="s">
        <v>82</v>
      </c>
      <c r="I5" s="163" t="s">
        <v>820</v>
      </c>
    </row>
    <row r="6" spans="1:27" ht="7" customHeight="1" x14ac:dyDescent="0.2"/>
    <row r="7" spans="1:27" x14ac:dyDescent="0.2">
      <c r="E7" s="127">
        <v>9</v>
      </c>
      <c r="G7" s="128" t="s">
        <v>58</v>
      </c>
      <c r="I7" s="127">
        <v>9</v>
      </c>
    </row>
    <row r="8" spans="1:27" x14ac:dyDescent="0.2">
      <c r="E8" s="165"/>
      <c r="G8" s="164"/>
      <c r="I8" s="165"/>
      <c r="L8" s="123" t="s">
        <v>1597</v>
      </c>
      <c r="M8" s="123" t="s">
        <v>820</v>
      </c>
      <c r="O8" s="162" t="s">
        <v>1602</v>
      </c>
      <c r="P8" s="162" t="s">
        <v>78</v>
      </c>
      <c r="Q8" s="162" t="s">
        <v>79</v>
      </c>
      <c r="R8" s="162" t="s">
        <v>58</v>
      </c>
      <c r="S8" s="162"/>
    </row>
    <row r="9" spans="1:27" x14ac:dyDescent="0.2">
      <c r="E9" s="138">
        <v>28</v>
      </c>
      <c r="G9" s="116" t="s">
        <v>60</v>
      </c>
      <c r="I9" s="138">
        <v>30</v>
      </c>
      <c r="L9" s="121" t="s">
        <v>60</v>
      </c>
      <c r="M9" s="124">
        <f>VLOOKUP($M$8,DATA!$A$1:$Z$1506,MATCH(APPLICATION!L9,DATA!$A$1:Z$1,FALSE),FALSE)</f>
        <v>30</v>
      </c>
      <c r="O9" s="76" t="s">
        <v>86</v>
      </c>
      <c r="P9" s="76" t="s">
        <v>389</v>
      </c>
      <c r="Q9" s="76" t="s">
        <v>802</v>
      </c>
      <c r="R9" s="76">
        <v>9</v>
      </c>
      <c r="S9" s="76"/>
      <c r="T9" s="178">
        <v>0.26215523637530608</v>
      </c>
      <c r="U9" s="181">
        <v>0.73784476362469398</v>
      </c>
      <c r="V9" s="180">
        <v>0.61122712601536144</v>
      </c>
      <c r="W9" s="155">
        <v>0.33853174126814889</v>
      </c>
      <c r="X9" s="156">
        <v>5.0241132716489605E-2</v>
      </c>
      <c r="Y9" s="154">
        <v>0.39065112946527403</v>
      </c>
      <c r="Z9" s="155">
        <v>0.38731814149199673</v>
      </c>
      <c r="AA9" s="156">
        <v>0.22203072904272922</v>
      </c>
    </row>
    <row r="10" spans="1:27" x14ac:dyDescent="0.2">
      <c r="E10" s="139">
        <v>175.26</v>
      </c>
      <c r="G10" s="118" t="s">
        <v>62</v>
      </c>
      <c r="I10" s="139">
        <v>170.18</v>
      </c>
      <c r="L10" s="122" t="s">
        <v>62</v>
      </c>
      <c r="M10" s="125">
        <f>VLOOKUP($M$8,DATA!$A$1:$Z$1506,MATCH(APPLICATION!L10,DATA!$A$1:Z$1,FALSE),FALSE)</f>
        <v>170.18</v>
      </c>
      <c r="O10" s="76" t="s">
        <v>82</v>
      </c>
      <c r="P10" s="76" t="s">
        <v>820</v>
      </c>
      <c r="Q10" s="76" t="s">
        <v>559</v>
      </c>
      <c r="R10" s="76">
        <v>8</v>
      </c>
      <c r="S10" s="76"/>
      <c r="T10" s="179">
        <v>0.50017814706652952</v>
      </c>
      <c r="U10" s="182">
        <v>0.49982185293347042</v>
      </c>
      <c r="V10" s="177">
        <v>0.60768948055583139</v>
      </c>
      <c r="W10" s="158">
        <v>0.34872088387659111</v>
      </c>
      <c r="X10" s="159">
        <v>4.3589635567577438E-2</v>
      </c>
      <c r="Y10" s="157">
        <v>0.71821666530301831</v>
      </c>
      <c r="Z10" s="158">
        <v>0.14606724898391196</v>
      </c>
      <c r="AA10" s="159">
        <v>0.13571608571306976</v>
      </c>
    </row>
    <row r="11" spans="1:27" x14ac:dyDescent="0.2">
      <c r="E11" s="139">
        <v>77.110640000000004</v>
      </c>
      <c r="G11" s="118" t="s">
        <v>61</v>
      </c>
      <c r="I11" s="139">
        <v>65.770840000000007</v>
      </c>
      <c r="L11" s="122" t="s">
        <v>61</v>
      </c>
      <c r="M11" s="125">
        <f>VLOOKUP($M$8,DATA!$A$1:$Z$1506,MATCH(APPLICATION!L11,DATA!$A$1:Z$1,FALSE),FALSE)</f>
        <v>65.770840000000007</v>
      </c>
      <c r="O11" s="76" t="s">
        <v>87</v>
      </c>
      <c r="P11" s="76" t="s">
        <v>269</v>
      </c>
      <c r="Q11" s="76" t="s">
        <v>1469</v>
      </c>
      <c r="R11" s="76">
        <v>7</v>
      </c>
      <c r="S11" s="76"/>
      <c r="T11" s="179">
        <v>0.58761414031365367</v>
      </c>
      <c r="U11" s="182">
        <v>0.41238585968634633</v>
      </c>
      <c r="V11" s="177">
        <v>0.38116112676122194</v>
      </c>
      <c r="W11" s="158">
        <v>0.56215235097937266</v>
      </c>
      <c r="X11" s="159">
        <v>5.6686522259405452E-2</v>
      </c>
      <c r="Y11" s="157">
        <v>0.40905680044314607</v>
      </c>
      <c r="Z11" s="158">
        <v>0.48939249261609824</v>
      </c>
      <c r="AA11" s="159">
        <v>0.10155070694075573</v>
      </c>
    </row>
    <row r="12" spans="1:27" x14ac:dyDescent="0.2">
      <c r="E12" s="110">
        <v>74</v>
      </c>
      <c r="G12" s="118" t="s">
        <v>63</v>
      </c>
      <c r="I12" s="110">
        <v>70</v>
      </c>
      <c r="L12" s="122" t="s">
        <v>63</v>
      </c>
      <c r="M12" s="134">
        <f>VLOOKUP($M$8,DATA!$A$1:$Z$1506,MATCH(APPLICATION!L12,DATA!$A$1:Z$1,FALSE),FALSE)</f>
        <v>70</v>
      </c>
      <c r="O12" s="76" t="s">
        <v>84</v>
      </c>
      <c r="P12" s="76" t="s">
        <v>799</v>
      </c>
      <c r="Q12" s="76" t="s">
        <v>883</v>
      </c>
      <c r="R12" s="76">
        <v>6</v>
      </c>
      <c r="S12" s="76"/>
      <c r="T12" s="179">
        <v>0.52224440171363906</v>
      </c>
      <c r="U12" s="182">
        <v>0.47775559828636094</v>
      </c>
      <c r="V12" s="177">
        <v>0.57619808077452506</v>
      </c>
      <c r="W12" s="158">
        <v>0.31205255322623038</v>
      </c>
      <c r="X12" s="159">
        <v>0.11174936599924457</v>
      </c>
      <c r="Y12" s="157">
        <v>0.41521939819176318</v>
      </c>
      <c r="Z12" s="158">
        <v>0.47175023033987484</v>
      </c>
      <c r="AA12" s="159">
        <v>0.11303037146836195</v>
      </c>
    </row>
    <row r="13" spans="1:27" x14ac:dyDescent="0.2">
      <c r="E13" s="110">
        <v>7</v>
      </c>
      <c r="G13" s="118" t="s">
        <v>65</v>
      </c>
      <c r="I13" s="110">
        <v>8</v>
      </c>
      <c r="L13" s="135" t="s">
        <v>65</v>
      </c>
      <c r="M13" s="134">
        <f>VLOOKUP($M$8,DATA!$A$1:$Z$1506,MATCH(APPLICATION!L13,DATA!$A$1:Z$1,FALSE),FALSE)</f>
        <v>8</v>
      </c>
      <c r="O13" s="76" t="s">
        <v>85</v>
      </c>
      <c r="P13" s="76" t="s">
        <v>573</v>
      </c>
      <c r="Q13" s="76" t="s">
        <v>445</v>
      </c>
      <c r="R13" s="76">
        <v>5</v>
      </c>
      <c r="S13" s="76"/>
      <c r="T13" s="179">
        <v>0.44500130377509672</v>
      </c>
      <c r="U13" s="182">
        <v>0.55499869622490328</v>
      </c>
      <c r="V13" s="177">
        <v>0.5554118620164642</v>
      </c>
      <c r="W13" s="158">
        <v>0.28056146800267001</v>
      </c>
      <c r="X13" s="159">
        <v>0.16402666998086582</v>
      </c>
      <c r="Y13" s="157">
        <v>0.49601580943349233</v>
      </c>
      <c r="Z13" s="158">
        <v>0.35143810948938536</v>
      </c>
      <c r="AA13" s="159">
        <v>0.15254608107712236</v>
      </c>
    </row>
    <row r="14" spans="1:27" x14ac:dyDescent="0.2">
      <c r="E14" s="119">
        <v>1</v>
      </c>
      <c r="G14" s="118" t="s">
        <v>64</v>
      </c>
      <c r="I14" s="119">
        <v>0.875</v>
      </c>
      <c r="L14" s="135" t="s">
        <v>64</v>
      </c>
      <c r="M14" s="99">
        <f>VLOOKUP($M$8,DATA!$A$1:$Z$1506,MATCH(APPLICATION!L14,DATA!$A$1:Z$1,FALSE),FALSE)</f>
        <v>0.875</v>
      </c>
      <c r="O14" s="76" t="s">
        <v>83</v>
      </c>
      <c r="P14" s="76" t="s">
        <v>453</v>
      </c>
      <c r="Q14" s="76" t="s">
        <v>754</v>
      </c>
      <c r="R14" s="76">
        <v>4</v>
      </c>
      <c r="S14" s="76"/>
      <c r="T14" s="179">
        <v>0.48718772924894471</v>
      </c>
      <c r="U14" s="182">
        <v>0.51281227075105518</v>
      </c>
      <c r="V14" s="177">
        <v>0.41257686335610555</v>
      </c>
      <c r="W14" s="158">
        <v>0.43954863984132331</v>
      </c>
      <c r="X14" s="159">
        <v>0.14787449680257117</v>
      </c>
      <c r="Y14" s="157">
        <v>0.45416726810398039</v>
      </c>
      <c r="Z14" s="158">
        <v>0.31647933220076802</v>
      </c>
      <c r="AA14" s="159">
        <v>0.22935339969525145</v>
      </c>
    </row>
    <row r="15" spans="1:27" x14ac:dyDescent="0.2">
      <c r="E15" s="140">
        <v>30.857142857142858</v>
      </c>
      <c r="G15" s="118" t="s">
        <v>66</v>
      </c>
      <c r="I15" s="140">
        <v>53.625</v>
      </c>
      <c r="L15" s="135" t="s">
        <v>66</v>
      </c>
      <c r="M15" s="137">
        <f>VLOOKUP($M$8,DATA!$A$1:$Z$1506,MATCH(APPLICATION!L15,DATA!$A$1:Z$1,FALSE),FALSE)</f>
        <v>53.625</v>
      </c>
      <c r="O15" s="76" t="s">
        <v>83</v>
      </c>
      <c r="P15" s="76" t="s">
        <v>1309</v>
      </c>
      <c r="Q15" s="76" t="s">
        <v>515</v>
      </c>
      <c r="R15" s="76">
        <v>3</v>
      </c>
      <c r="S15" s="76"/>
      <c r="T15" s="179">
        <v>0.26963700580424338</v>
      </c>
      <c r="U15" s="182">
        <v>0.73036299419575668</v>
      </c>
      <c r="V15" s="177">
        <v>0.35484082875481054</v>
      </c>
      <c r="W15" s="158">
        <v>0.20185850080726547</v>
      </c>
      <c r="X15" s="159">
        <v>0.44330067043792404</v>
      </c>
      <c r="Y15" s="157">
        <v>0.32813241633082973</v>
      </c>
      <c r="Z15" s="158">
        <v>0.45952804376355733</v>
      </c>
      <c r="AA15" s="159">
        <v>0.21233953990561302</v>
      </c>
    </row>
    <row r="16" spans="1:27" x14ac:dyDescent="0.2">
      <c r="E16" s="140">
        <v>0.7142857142857143</v>
      </c>
      <c r="G16" s="118" t="s">
        <v>67</v>
      </c>
      <c r="I16" s="140">
        <v>1.5</v>
      </c>
      <c r="L16" s="135" t="s">
        <v>67</v>
      </c>
      <c r="M16" s="137">
        <f>VLOOKUP($M$8,DATA!$A$1:$Z$1506,MATCH(APPLICATION!L16,DATA!$A$1:Z$1,FALSE),FALSE)</f>
        <v>1.5</v>
      </c>
      <c r="O16" s="76" t="s">
        <v>83</v>
      </c>
      <c r="P16" s="76" t="s">
        <v>735</v>
      </c>
      <c r="Q16" s="76" t="s">
        <v>1404</v>
      </c>
      <c r="R16" s="76">
        <v>2</v>
      </c>
      <c r="S16" s="76"/>
      <c r="T16" s="179">
        <v>0.74987114535306532</v>
      </c>
      <c r="U16" s="182">
        <v>0.25012885464693474</v>
      </c>
      <c r="V16" s="177">
        <v>0.40418049772133369</v>
      </c>
      <c r="W16" s="158">
        <v>0.31531659599095391</v>
      </c>
      <c r="X16" s="159">
        <v>0.28050290628771241</v>
      </c>
      <c r="Y16" s="157">
        <v>0.48428807496451803</v>
      </c>
      <c r="Z16" s="158">
        <v>0.43442499171193016</v>
      </c>
      <c r="AA16" s="159">
        <v>8.1286933323551858E-2</v>
      </c>
    </row>
    <row r="17" spans="5:27" x14ac:dyDescent="0.2">
      <c r="E17" s="140">
        <v>0</v>
      </c>
      <c r="G17" s="118" t="s">
        <v>68</v>
      </c>
      <c r="I17" s="140">
        <v>0.375</v>
      </c>
      <c r="L17" s="135" t="s">
        <v>68</v>
      </c>
      <c r="M17" s="137">
        <f>VLOOKUP($M$8,DATA!$A$1:$Z$1506,MATCH(APPLICATION!L17,DATA!$A$1:Z$1,FALSE),FALSE)</f>
        <v>0.375</v>
      </c>
      <c r="O17" s="76" t="s">
        <v>81</v>
      </c>
      <c r="P17" s="76" t="s">
        <v>1553</v>
      </c>
      <c r="Q17" s="76" t="s">
        <v>1200</v>
      </c>
      <c r="R17" s="76">
        <v>1</v>
      </c>
      <c r="S17" s="76"/>
      <c r="T17" s="179">
        <v>0.59913443395480603</v>
      </c>
      <c r="U17" s="182">
        <v>0.40086556604519397</v>
      </c>
      <c r="V17" s="177">
        <v>0.63454652534398748</v>
      </c>
      <c r="W17" s="158">
        <v>0.32933915309872375</v>
      </c>
      <c r="X17" s="159">
        <v>3.611432155728863E-2</v>
      </c>
      <c r="Y17" s="157">
        <v>0.81508465790404394</v>
      </c>
      <c r="Z17" s="158">
        <v>0.14168323147514494</v>
      </c>
      <c r="AA17" s="159">
        <v>4.323211062081115E-2</v>
      </c>
    </row>
    <row r="18" spans="5:27" x14ac:dyDescent="0.2">
      <c r="E18" s="140">
        <v>1.1428571428571428</v>
      </c>
      <c r="G18" s="118" t="s">
        <v>69</v>
      </c>
      <c r="I18" s="140">
        <v>1.375</v>
      </c>
      <c r="L18" s="135" t="s">
        <v>69</v>
      </c>
      <c r="M18" s="137">
        <f>VLOOKUP($M$8,DATA!$A$1:$Z$1506,MATCH(APPLICATION!L18,DATA!$A$1:Z$1,FALSE),FALSE)</f>
        <v>1.375</v>
      </c>
    </row>
    <row r="19" spans="5:27" x14ac:dyDescent="0.2">
      <c r="E19" s="147">
        <v>1</v>
      </c>
      <c r="G19" s="117" t="s">
        <v>1601</v>
      </c>
      <c r="I19" s="147">
        <v>0</v>
      </c>
      <c r="L19" s="136" t="s">
        <v>1599</v>
      </c>
      <c r="M19" s="146">
        <f>VLOOKUP($M$8,DATA!$A$1:$Z$1506,MATCH(APPLICATION!L19,DATA!$A$1:Z$1,FALSE),FALSE)</f>
        <v>0</v>
      </c>
    </row>
    <row r="20" spans="5:27" x14ac:dyDescent="0.2">
      <c r="L20" s="160" t="s">
        <v>1603</v>
      </c>
      <c r="M20" s="161"/>
    </row>
    <row r="21" spans="5:27" x14ac:dyDescent="0.2">
      <c r="E21" s="129">
        <f>VLOOKUP($A$1,'VAR CONTROL'!$D$28:$G$30,MATCH(APPLICATION!E3,'VAR CONTROL'!$D$27:$G$27,FALSE),FALSE)</f>
        <v>0.58206842142219872</v>
      </c>
      <c r="G21" s="130" t="s">
        <v>88</v>
      </c>
      <c r="I21" s="129">
        <f>VLOOKUP($A$1,'VAR CONTROL'!$D$28:$G$30,MATCH(APPLICATION!I3,'VAR CONTROL'!$D$27:$G$27,FALSE),FALSE)</f>
        <v>0.41793157857780133</v>
      </c>
    </row>
    <row r="22" spans="5:27" ht="8" customHeight="1" x14ac:dyDescent="0.2"/>
    <row r="23" spans="5:27" x14ac:dyDescent="0.2">
      <c r="E23" s="112">
        <f>VLOOKUP($A$1,'VAR CONTROL'!$D$32:$H$35,3,FALSE)</f>
        <v>0.28403193093657653</v>
      </c>
      <c r="G23" s="131" t="s">
        <v>89</v>
      </c>
      <c r="I23" s="112">
        <f>VLOOKUP($A$1,'VAR CONTROL'!$D$37:$H$40,3,FALSE)</f>
        <v>0.52131264497966134</v>
      </c>
    </row>
    <row r="24" spans="5:27" x14ac:dyDescent="0.2">
      <c r="E24" s="113">
        <f>VLOOKUP($A$1,'VAR CONTROL'!$D$32:$H$35,4,FALSE)</f>
        <v>0.67672897294947087</v>
      </c>
      <c r="G24" s="74"/>
      <c r="I24" s="113">
        <f>VLOOKUP($A$1,'VAR CONTROL'!$D$37:$H$40,4,FALSE)</f>
        <v>0.42686789434135985</v>
      </c>
    </row>
    <row r="25" spans="5:27" x14ac:dyDescent="0.2">
      <c r="E25" s="114">
        <f>VLOOKUP($A$1,'VAR CONTROL'!$D$32:$H$35,5,FALSE)</f>
        <v>3.9239096113952543E-2</v>
      </c>
      <c r="G25" s="75"/>
      <c r="I25" s="114">
        <f>VLOOKUP($A$1,'VAR CONTROL'!$D$37:$H$40,5,FALSE)</f>
        <v>5.1819460678979003E-2</v>
      </c>
    </row>
  </sheetData>
  <conditionalFormatting sqref="E21 I21">
    <cfRule type="iconSet" priority="14">
      <iconSet iconSet="3Flags">
        <cfvo type="percent" val="0"/>
        <cfvo type="percent" val="33"/>
        <cfvo type="percent" val="67"/>
      </iconSet>
    </cfRule>
  </conditionalFormatting>
  <conditionalFormatting sqref="E23:E25">
    <cfRule type="colorScale" priority="11">
      <colorScale>
        <cfvo type="min"/>
        <cfvo type="max"/>
        <color rgb="FFFCFCFF"/>
        <color rgb="FF63BE7B"/>
      </colorScale>
    </cfRule>
  </conditionalFormatting>
  <conditionalFormatting sqref="I23:I25">
    <cfRule type="colorScale" priority="10">
      <colorScale>
        <cfvo type="min"/>
        <cfvo type="max"/>
        <color rgb="FFFCFCFF"/>
        <color rgb="FF63BE7B"/>
      </colorScale>
    </cfRule>
  </conditionalFormatting>
  <conditionalFormatting sqref="V9:X9">
    <cfRule type="colorScale" priority="9">
      <colorScale>
        <cfvo type="min"/>
        <cfvo type="max"/>
        <color rgb="FFFCFCFF"/>
        <color rgb="FFF8696B"/>
      </colorScale>
    </cfRule>
  </conditionalFormatting>
  <conditionalFormatting sqref="Y9:AA9">
    <cfRule type="colorScale" priority="8">
      <colorScale>
        <cfvo type="min"/>
        <cfvo type="max"/>
        <color rgb="FFFCFCFF"/>
        <color rgb="FFF8696B"/>
      </colorScale>
    </cfRule>
  </conditionalFormatting>
  <conditionalFormatting sqref="V11:X17">
    <cfRule type="colorScale" priority="7">
      <colorScale>
        <cfvo type="min"/>
        <cfvo type="max"/>
        <color rgb="FFFCFCFF"/>
        <color rgb="FFF8696B"/>
      </colorScale>
    </cfRule>
  </conditionalFormatting>
  <conditionalFormatting sqref="Y11:AA17">
    <cfRule type="colorScale" priority="6">
      <colorScale>
        <cfvo type="min"/>
        <cfvo type="max"/>
        <color rgb="FFFCFCFF"/>
        <color rgb="FFF8696B"/>
      </colorScale>
    </cfRule>
  </conditionalFormatting>
  <conditionalFormatting sqref="V10:X10">
    <cfRule type="colorScale" priority="5">
      <colorScale>
        <cfvo type="min"/>
        <cfvo type="max"/>
        <color rgb="FFFCFCFF"/>
        <color rgb="FFF8696B"/>
      </colorScale>
    </cfRule>
  </conditionalFormatting>
  <conditionalFormatting sqref="Y10:AA10">
    <cfRule type="colorScale" priority="4">
      <colorScale>
        <cfvo type="min"/>
        <cfvo type="max"/>
        <color rgb="FFFCFCFF"/>
        <color rgb="FFF8696B"/>
      </colorScale>
    </cfRule>
  </conditionalFormatting>
  <conditionalFormatting sqref="T9:U9">
    <cfRule type="colorScale" priority="3">
      <colorScale>
        <cfvo type="min"/>
        <cfvo type="max"/>
        <color rgb="FFFCFCFF"/>
        <color rgb="FF63BE7B"/>
      </colorScale>
    </cfRule>
  </conditionalFormatting>
  <conditionalFormatting sqref="T11:U17">
    <cfRule type="colorScale" priority="2">
      <colorScale>
        <cfvo type="min"/>
        <cfvo type="max"/>
        <color rgb="FFFCFCFF"/>
        <color rgb="FF63BE7B"/>
      </colorScale>
    </cfRule>
  </conditionalFormatting>
  <conditionalFormatting sqref="T10:U1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'VAR CONTROL'!$E$44:$E$51</xm:f>
          </x14:formula1>
          <xm:sqref>G5</xm:sqref>
        </x14:dataValidation>
        <x14:dataValidation type="list" allowBlank="1" showInputMessage="1" showErrorMessage="1">
          <x14:formula1>
            <xm:f>DATA!$A$2:$A$1506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9" tint="0.39997558519241921"/>
  </sheetPr>
  <dimension ref="B3:K28"/>
  <sheetViews>
    <sheetView topLeftCell="A2" workbookViewId="0">
      <selection activeCell="C26" sqref="C26"/>
    </sheetView>
  </sheetViews>
  <sheetFormatPr baseColWidth="10" defaultRowHeight="16" x14ac:dyDescent="0.2"/>
  <cols>
    <col min="3" max="3" width="118.83203125" bestFit="1" customWidth="1"/>
    <col min="10" max="10" width="16.83203125" customWidth="1"/>
  </cols>
  <sheetData>
    <row r="3" spans="2:11" x14ac:dyDescent="0.2">
      <c r="B3" t="s">
        <v>1606</v>
      </c>
    </row>
    <row r="6" spans="2:11" x14ac:dyDescent="0.2">
      <c r="B6" t="s">
        <v>1605</v>
      </c>
      <c r="C6" t="str">
        <f>"print(mlogit_res.predict(["&amp;K6</f>
        <v>print(mlogit_res.predict([9,28,175.26,77.11064,74,7,1,30.8571428571429,0.714285714285714,0,1.14285714285714,-2,5.07999999999998,11.3398,-1,-22.7678571428571,-0.785714285714286,-0.375,-0.232142857142857,0.125,4,1]))</v>
      </c>
      <c r="K6" t="str">
        <f>CONCATENATE(K7,K8,K9,K10,K11,K12,K13,K14,K15,K16,K17,K18,K19,K20,K21,K22,K23,K24,K25,K26,K27,K28)</f>
        <v>9,28,175.26,77.11064,74,7,1,30.8571428571429,0.714285714285714,0,1.14285714285714,-2,5.07999999999998,11.3398,-1,-22.7678571428571,-0.785714285714286,-0.375,-0.232142857142857,0.125,4,1]))</v>
      </c>
    </row>
    <row r="7" spans="2:11" x14ac:dyDescent="0.2">
      <c r="C7" t="s">
        <v>1604</v>
      </c>
      <c r="J7">
        <f>'VAR CONTROL'!F4</f>
        <v>9</v>
      </c>
      <c r="K7" t="str">
        <f>J7&amp;","</f>
        <v>9,</v>
      </c>
    </row>
    <row r="8" spans="2:11" x14ac:dyDescent="0.2">
      <c r="J8">
        <f>'VAR CONTROL'!F6</f>
        <v>28</v>
      </c>
      <c r="K8" t="str">
        <f t="shared" ref="K8:K27" si="0">J8&amp;","</f>
        <v>28,</v>
      </c>
    </row>
    <row r="9" spans="2:11" x14ac:dyDescent="0.2">
      <c r="J9">
        <f>'VAR CONTROL'!F7</f>
        <v>175.26</v>
      </c>
      <c r="K9" t="str">
        <f t="shared" si="0"/>
        <v>175.26,</v>
      </c>
    </row>
    <row r="10" spans="2:11" x14ac:dyDescent="0.2">
      <c r="J10">
        <f>'VAR CONTROL'!F8</f>
        <v>77.110640000000004</v>
      </c>
      <c r="K10" t="str">
        <f t="shared" si="0"/>
        <v>77.11064,</v>
      </c>
    </row>
    <row r="11" spans="2:11" x14ac:dyDescent="0.2">
      <c r="J11">
        <f>'VAR CONTROL'!F9</f>
        <v>74</v>
      </c>
      <c r="K11" t="str">
        <f t="shared" si="0"/>
        <v>74,</v>
      </c>
    </row>
    <row r="12" spans="2:11" x14ac:dyDescent="0.2">
      <c r="J12">
        <f>'VAR CONTROL'!F10</f>
        <v>7</v>
      </c>
      <c r="K12" t="str">
        <f t="shared" si="0"/>
        <v>7,</v>
      </c>
    </row>
    <row r="13" spans="2:11" x14ac:dyDescent="0.2">
      <c r="J13">
        <f>'VAR CONTROL'!F11</f>
        <v>1</v>
      </c>
      <c r="K13" t="str">
        <f t="shared" si="0"/>
        <v>1,</v>
      </c>
    </row>
    <row r="14" spans="2:11" x14ac:dyDescent="0.2">
      <c r="J14">
        <f>'VAR CONTROL'!F12</f>
        <v>30.857142857142858</v>
      </c>
      <c r="K14" t="str">
        <f t="shared" si="0"/>
        <v>30.8571428571429,</v>
      </c>
    </row>
    <row r="15" spans="2:11" x14ac:dyDescent="0.2">
      <c r="J15">
        <f>'VAR CONTROL'!F13</f>
        <v>0.7142857142857143</v>
      </c>
      <c r="K15" t="str">
        <f t="shared" si="0"/>
        <v>0.714285714285714,</v>
      </c>
    </row>
    <row r="16" spans="2:11" x14ac:dyDescent="0.2">
      <c r="J16">
        <f>'VAR CONTROL'!F14</f>
        <v>0</v>
      </c>
      <c r="K16" t="str">
        <f t="shared" si="0"/>
        <v>0,</v>
      </c>
    </row>
    <row r="17" spans="10:11" x14ac:dyDescent="0.2">
      <c r="J17">
        <f>'VAR CONTROL'!F15</f>
        <v>1.1428571428571428</v>
      </c>
      <c r="K17" t="str">
        <f t="shared" si="0"/>
        <v>1.14285714285714,</v>
      </c>
    </row>
    <row r="18" spans="10:11" x14ac:dyDescent="0.2">
      <c r="J18">
        <f>'VAR CONTROL'!F16</f>
        <v>-2</v>
      </c>
      <c r="K18" t="str">
        <f t="shared" si="0"/>
        <v>-2,</v>
      </c>
    </row>
    <row r="19" spans="10:11" x14ac:dyDescent="0.2">
      <c r="J19">
        <f>'VAR CONTROL'!F17</f>
        <v>5.0799999999999841</v>
      </c>
      <c r="K19" t="str">
        <f t="shared" si="0"/>
        <v>5.07999999999998,</v>
      </c>
    </row>
    <row r="20" spans="10:11" x14ac:dyDescent="0.2">
      <c r="J20">
        <f>'VAR CONTROL'!F18</f>
        <v>11.339799999999997</v>
      </c>
      <c r="K20" t="str">
        <f t="shared" si="0"/>
        <v>11.3398,</v>
      </c>
    </row>
    <row r="21" spans="10:11" x14ac:dyDescent="0.2">
      <c r="J21">
        <f>'VAR CONTROL'!F19</f>
        <v>-1</v>
      </c>
      <c r="K21" t="str">
        <f t="shared" si="0"/>
        <v>-1,</v>
      </c>
    </row>
    <row r="22" spans="10:11" x14ac:dyDescent="0.2">
      <c r="J22">
        <f>'VAR CONTROL'!F20</f>
        <v>-22.767857142857142</v>
      </c>
      <c r="K22" t="str">
        <f t="shared" si="0"/>
        <v>-22.7678571428571,</v>
      </c>
    </row>
    <row r="23" spans="10:11" x14ac:dyDescent="0.2">
      <c r="J23">
        <f>'VAR CONTROL'!F21</f>
        <v>-0.7857142857142857</v>
      </c>
      <c r="K23" t="str">
        <f t="shared" si="0"/>
        <v>-0.785714285714286,</v>
      </c>
    </row>
    <row r="24" spans="10:11" x14ac:dyDescent="0.2">
      <c r="J24">
        <f>'VAR CONTROL'!F22</f>
        <v>-0.375</v>
      </c>
      <c r="K24" t="str">
        <f t="shared" si="0"/>
        <v>-0.375,</v>
      </c>
    </row>
    <row r="25" spans="10:11" x14ac:dyDescent="0.2">
      <c r="J25">
        <f>'VAR CONTROL'!F23</f>
        <v>-0.23214285714285721</v>
      </c>
      <c r="K25" t="str">
        <f t="shared" si="0"/>
        <v>-0.232142857142857,</v>
      </c>
    </row>
    <row r="26" spans="10:11" x14ac:dyDescent="0.2">
      <c r="J26">
        <f>'VAR CONTROL'!F24</f>
        <v>0.125</v>
      </c>
      <c r="K26" t="str">
        <f t="shared" si="0"/>
        <v>0.125,</v>
      </c>
    </row>
    <row r="27" spans="10:11" x14ac:dyDescent="0.2">
      <c r="J27">
        <f>'VAR CONTROL'!F25</f>
        <v>4</v>
      </c>
      <c r="K27" t="str">
        <f t="shared" si="0"/>
        <v>4,</v>
      </c>
    </row>
    <row r="28" spans="10:11" x14ac:dyDescent="0.2">
      <c r="J28">
        <f>'VAR CONTROL'!F26</f>
        <v>1</v>
      </c>
      <c r="K28" t="str">
        <f>J28&amp;"]))"</f>
        <v>1]))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 tint="0.39997558519241921"/>
  </sheetPr>
  <dimension ref="A2:I51"/>
  <sheetViews>
    <sheetView workbookViewId="0">
      <selection activeCell="E8" sqref="E8"/>
    </sheetView>
  </sheetViews>
  <sheetFormatPr baseColWidth="10" defaultRowHeight="16" x14ac:dyDescent="0.2"/>
  <cols>
    <col min="1" max="3" width="10.83203125" style="47"/>
    <col min="4" max="4" width="36.1640625" style="47" bestFit="1" customWidth="1"/>
    <col min="5" max="5" width="30.83203125" style="47" bestFit="1" customWidth="1"/>
    <col min="6" max="7" width="25.6640625" style="47" customWidth="1"/>
    <col min="8" max="16384" width="10.83203125" style="47"/>
  </cols>
  <sheetData>
    <row r="2" spans="1:7" x14ac:dyDescent="0.2">
      <c r="A2" s="77"/>
    </row>
    <row r="3" spans="1:7" ht="17" thickBot="1" x14ac:dyDescent="0.25">
      <c r="A3" s="77"/>
      <c r="F3" s="78" t="s">
        <v>56</v>
      </c>
      <c r="G3" s="78" t="s">
        <v>57</v>
      </c>
    </row>
    <row r="4" spans="1:7" x14ac:dyDescent="0.2">
      <c r="A4" s="77"/>
      <c r="D4" s="73" t="s">
        <v>58</v>
      </c>
      <c r="E4" s="79" t="s">
        <v>28</v>
      </c>
      <c r="F4" s="80">
        <f>APPLICATION!E7</f>
        <v>9</v>
      </c>
      <c r="G4" s="81">
        <f>APPLICATION!I7</f>
        <v>9</v>
      </c>
    </row>
    <row r="5" spans="1:7" x14ac:dyDescent="0.2">
      <c r="A5" s="77"/>
      <c r="D5" s="166"/>
      <c r="E5" s="167"/>
      <c r="F5" s="168"/>
      <c r="G5" s="169"/>
    </row>
    <row r="6" spans="1:7" ht="17" x14ac:dyDescent="0.25">
      <c r="A6" s="77"/>
      <c r="C6" s="85"/>
      <c r="D6" s="73" t="s">
        <v>60</v>
      </c>
      <c r="E6" s="82" t="s">
        <v>30</v>
      </c>
      <c r="F6" s="83">
        <f>APPLICATION!E9</f>
        <v>28</v>
      </c>
      <c r="G6" s="84">
        <f>APPLICATION!I9</f>
        <v>30</v>
      </c>
    </row>
    <row r="7" spans="1:7" ht="17" x14ac:dyDescent="0.25">
      <c r="A7" s="77"/>
      <c r="C7" s="85"/>
      <c r="D7" s="73" t="s">
        <v>62</v>
      </c>
      <c r="E7" s="82" t="s">
        <v>31</v>
      </c>
      <c r="F7" s="83">
        <f>APPLICATION!E10</f>
        <v>175.26</v>
      </c>
      <c r="G7" s="84">
        <f>APPLICATION!I10</f>
        <v>170.18</v>
      </c>
    </row>
    <row r="8" spans="1:7" ht="17" x14ac:dyDescent="0.25">
      <c r="A8" s="77"/>
      <c r="C8" s="85"/>
      <c r="D8" s="73" t="s">
        <v>61</v>
      </c>
      <c r="E8" s="82" t="s">
        <v>50</v>
      </c>
      <c r="F8" s="83">
        <f>APPLICATION!E11</f>
        <v>77.110640000000004</v>
      </c>
      <c r="G8" s="84">
        <f>APPLICATION!I11</f>
        <v>65.770840000000007</v>
      </c>
    </row>
    <row r="9" spans="1:7" ht="17" x14ac:dyDescent="0.25">
      <c r="A9" s="77"/>
      <c r="C9" s="85"/>
      <c r="D9" s="73" t="s">
        <v>63</v>
      </c>
      <c r="E9" s="82" t="s">
        <v>32</v>
      </c>
      <c r="F9" s="83">
        <f>APPLICATION!E12</f>
        <v>74</v>
      </c>
      <c r="G9" s="84">
        <f>APPLICATION!I12</f>
        <v>70</v>
      </c>
    </row>
    <row r="10" spans="1:7" x14ac:dyDescent="0.2">
      <c r="A10" s="77"/>
      <c r="D10" s="73" t="s">
        <v>65</v>
      </c>
      <c r="E10" s="82" t="s">
        <v>33</v>
      </c>
      <c r="F10" s="83">
        <f>APPLICATION!E13</f>
        <v>7</v>
      </c>
      <c r="G10" s="84">
        <f>APPLICATION!I13</f>
        <v>8</v>
      </c>
    </row>
    <row r="11" spans="1:7" x14ac:dyDescent="0.2">
      <c r="A11" s="77"/>
      <c r="D11" s="73" t="s">
        <v>64</v>
      </c>
      <c r="E11" s="82" t="s">
        <v>51</v>
      </c>
      <c r="F11" s="83">
        <f>APPLICATION!E14</f>
        <v>1</v>
      </c>
      <c r="G11" s="84">
        <f>APPLICATION!I14</f>
        <v>0.875</v>
      </c>
    </row>
    <row r="12" spans="1:7" x14ac:dyDescent="0.2">
      <c r="A12" s="77"/>
      <c r="D12" s="73" t="s">
        <v>66</v>
      </c>
      <c r="E12" s="82" t="s">
        <v>34</v>
      </c>
      <c r="F12" s="83">
        <f>APPLICATION!E15</f>
        <v>30.857142857142858</v>
      </c>
      <c r="G12" s="84">
        <f>APPLICATION!I15</f>
        <v>53.625</v>
      </c>
    </row>
    <row r="13" spans="1:7" x14ac:dyDescent="0.2">
      <c r="A13" s="77"/>
      <c r="D13" s="73" t="s">
        <v>67</v>
      </c>
      <c r="E13" s="82" t="s">
        <v>35</v>
      </c>
      <c r="F13" s="83">
        <f>APPLICATION!E16</f>
        <v>0.7142857142857143</v>
      </c>
      <c r="G13" s="84">
        <f>APPLICATION!I16</f>
        <v>1.5</v>
      </c>
    </row>
    <row r="14" spans="1:7" x14ac:dyDescent="0.2">
      <c r="D14" s="73" t="s">
        <v>68</v>
      </c>
      <c r="E14" s="82" t="s">
        <v>36</v>
      </c>
      <c r="F14" s="83">
        <f>APPLICATION!E17</f>
        <v>0</v>
      </c>
      <c r="G14" s="84">
        <f>APPLICATION!I17</f>
        <v>0.375</v>
      </c>
    </row>
    <row r="15" spans="1:7" ht="17" thickBot="1" x14ac:dyDescent="0.25">
      <c r="D15" s="73" t="s">
        <v>69</v>
      </c>
      <c r="E15" s="86" t="s">
        <v>37</v>
      </c>
      <c r="F15" s="87">
        <f>APPLICATION!E18</f>
        <v>1.1428571428571428</v>
      </c>
      <c r="G15" s="88">
        <f>APPLICATION!I18</f>
        <v>1.375</v>
      </c>
    </row>
    <row r="16" spans="1:7" x14ac:dyDescent="0.2">
      <c r="D16" s="72" t="s">
        <v>39</v>
      </c>
      <c r="E16" s="89" t="s">
        <v>7</v>
      </c>
      <c r="F16" s="90">
        <f>F6-G6</f>
        <v>-2</v>
      </c>
      <c r="G16" s="47">
        <f>F16*-1</f>
        <v>2</v>
      </c>
    </row>
    <row r="17" spans="4:9" x14ac:dyDescent="0.2">
      <c r="D17" s="72" t="s">
        <v>40</v>
      </c>
      <c r="E17" s="82" t="s">
        <v>0</v>
      </c>
      <c r="F17" s="84">
        <f>F7-G7</f>
        <v>5.0799999999999841</v>
      </c>
      <c r="G17" s="47">
        <f t="shared" ref="G17:G25" si="0">F17*-1</f>
        <v>-5.0799999999999841</v>
      </c>
    </row>
    <row r="18" spans="4:9" x14ac:dyDescent="0.2">
      <c r="D18" s="72" t="s">
        <v>41</v>
      </c>
      <c r="E18" s="82" t="s">
        <v>8</v>
      </c>
      <c r="F18" s="84">
        <f>F8-G8</f>
        <v>11.339799999999997</v>
      </c>
      <c r="G18" s="47">
        <f t="shared" si="0"/>
        <v>-11.339799999999997</v>
      </c>
    </row>
    <row r="19" spans="4:9" x14ac:dyDescent="0.2">
      <c r="D19" s="72" t="s">
        <v>42</v>
      </c>
      <c r="E19" s="82" t="s">
        <v>1</v>
      </c>
      <c r="F19" s="84">
        <f>F10-G10</f>
        <v>-1</v>
      </c>
      <c r="G19" s="47">
        <f t="shared" si="0"/>
        <v>1</v>
      </c>
    </row>
    <row r="20" spans="4:9" x14ac:dyDescent="0.2">
      <c r="D20" s="72" t="s">
        <v>43</v>
      </c>
      <c r="E20" s="82" t="s">
        <v>2</v>
      </c>
      <c r="F20" s="84">
        <f>F12-G12</f>
        <v>-22.767857142857142</v>
      </c>
      <c r="G20" s="47">
        <f t="shared" si="0"/>
        <v>22.767857142857142</v>
      </c>
    </row>
    <row r="21" spans="4:9" x14ac:dyDescent="0.2">
      <c r="D21" s="72" t="s">
        <v>44</v>
      </c>
      <c r="E21" s="82" t="s">
        <v>9</v>
      </c>
      <c r="F21" s="84">
        <f>F13-G13</f>
        <v>-0.7857142857142857</v>
      </c>
      <c r="G21" s="47">
        <f t="shared" si="0"/>
        <v>0.7857142857142857</v>
      </c>
    </row>
    <row r="22" spans="4:9" x14ac:dyDescent="0.2">
      <c r="D22" s="72" t="s">
        <v>45</v>
      </c>
      <c r="E22" s="82" t="s">
        <v>10</v>
      </c>
      <c r="F22" s="84">
        <f>F14-G14</f>
        <v>-0.375</v>
      </c>
      <c r="G22" s="47">
        <f t="shared" si="0"/>
        <v>0.375</v>
      </c>
    </row>
    <row r="23" spans="4:9" x14ac:dyDescent="0.2">
      <c r="D23" s="72" t="s">
        <v>46</v>
      </c>
      <c r="E23" s="82" t="s">
        <v>3</v>
      </c>
      <c r="F23" s="84">
        <f>F15-G15</f>
        <v>-0.23214285714285721</v>
      </c>
      <c r="G23" s="47">
        <f t="shared" si="0"/>
        <v>0.23214285714285721</v>
      </c>
    </row>
    <row r="24" spans="4:9" x14ac:dyDescent="0.2">
      <c r="D24" s="72" t="s">
        <v>47</v>
      </c>
      <c r="E24" s="82" t="s">
        <v>4</v>
      </c>
      <c r="F24" s="84">
        <f>F11-G11</f>
        <v>0.125</v>
      </c>
      <c r="G24" s="47">
        <f t="shared" si="0"/>
        <v>-0.125</v>
      </c>
    </row>
    <row r="25" spans="4:9" x14ac:dyDescent="0.2">
      <c r="D25" s="72" t="s">
        <v>48</v>
      </c>
      <c r="E25" s="82" t="s">
        <v>5</v>
      </c>
      <c r="F25" s="84">
        <f>F9-G9</f>
        <v>4</v>
      </c>
      <c r="G25" s="47">
        <f t="shared" si="0"/>
        <v>-4</v>
      </c>
    </row>
    <row r="26" spans="4:9" ht="17" thickBot="1" x14ac:dyDescent="0.25">
      <c r="D26" s="72" t="s">
        <v>1599</v>
      </c>
      <c r="E26" s="86" t="s">
        <v>1600</v>
      </c>
      <c r="F26" s="143">
        <f>APPLICATION!E19</f>
        <v>1</v>
      </c>
      <c r="G26" s="144">
        <f>APPLICATION!I19</f>
        <v>0</v>
      </c>
    </row>
    <row r="27" spans="4:9" x14ac:dyDescent="0.2">
      <c r="F27" s="47" t="s">
        <v>56</v>
      </c>
      <c r="G27" s="47" t="s">
        <v>57</v>
      </c>
    </row>
    <row r="28" spans="4:9" x14ac:dyDescent="0.2">
      <c r="D28" s="93" t="s">
        <v>71</v>
      </c>
      <c r="E28" s="94" t="s">
        <v>70</v>
      </c>
      <c r="F28" s="95">
        <f>H28/SUM($H28:$I28)</f>
        <v>0.58206842142219872</v>
      </c>
      <c r="G28" s="96">
        <f>I28/SUM($H28:$I28)</f>
        <v>0.41793157857780133</v>
      </c>
      <c r="H28" s="92">
        <f>'WIN.LOSS MODEL - F1'!F17</f>
        <v>0.56570439495632141</v>
      </c>
      <c r="I28" s="92">
        <f>'WIN.LOSS MODEL - F2'!F17</f>
        <v>0.4061820261865845</v>
      </c>
    </row>
    <row r="29" spans="4:9" x14ac:dyDescent="0.2">
      <c r="D29" s="97" t="s">
        <v>72</v>
      </c>
      <c r="E29" s="91" t="s">
        <v>70</v>
      </c>
      <c r="F29" s="98">
        <f t="shared" ref="F29:F30" si="1">H29/SUM($H29:$I29)</f>
        <v>0.48843853739736298</v>
      </c>
      <c r="G29" s="99">
        <f t="shared" ref="G29:G30" si="2">I29/SUM($H29:$I29)</f>
        <v>0.51156146260263691</v>
      </c>
      <c r="H29" s="92">
        <f>'WIN.LOSS MODEL - F1'!L17</f>
        <v>0.47997369386854399</v>
      </c>
      <c r="I29" s="92">
        <f>'WIN.LOSS MODEL - F2'!L17</f>
        <v>0.50269588913789975</v>
      </c>
    </row>
    <row r="30" spans="4:9" x14ac:dyDescent="0.2">
      <c r="D30" s="100" t="s">
        <v>73</v>
      </c>
      <c r="E30" s="101" t="s">
        <v>70</v>
      </c>
      <c r="F30" s="102">
        <f t="shared" si="1"/>
        <v>0.56744265693163221</v>
      </c>
      <c r="G30" s="103">
        <f t="shared" si="2"/>
        <v>0.43255734306836779</v>
      </c>
      <c r="H30" s="92">
        <f>'WIN.LOSS MODEL - F1'!R17</f>
        <v>0.55608426790074272</v>
      </c>
      <c r="I30" s="92">
        <f>'WIN.LOSS MODEL - F2'!R17</f>
        <v>0.42389892706681853</v>
      </c>
    </row>
    <row r="32" spans="4:9" x14ac:dyDescent="0.2">
      <c r="D32" s="183" t="s">
        <v>78</v>
      </c>
      <c r="E32" s="184"/>
      <c r="F32" s="104" t="s">
        <v>75</v>
      </c>
      <c r="G32" s="104" t="s">
        <v>76</v>
      </c>
      <c r="H32" s="105" t="s">
        <v>77</v>
      </c>
    </row>
    <row r="33" spans="4:8" x14ac:dyDescent="0.2">
      <c r="D33" s="97" t="s">
        <v>71</v>
      </c>
      <c r="E33" s="91" t="s">
        <v>74</v>
      </c>
      <c r="F33" s="106">
        <f>'WIN.TYPE MODEL - F1'!D30</f>
        <v>0.28403193093657653</v>
      </c>
      <c r="G33" s="106">
        <f>'WIN.TYPE MODEL - F1'!E30</f>
        <v>0.67672897294947087</v>
      </c>
      <c r="H33" s="108">
        <f>'WIN.TYPE MODEL - F1'!F30</f>
        <v>3.9239096113952543E-2</v>
      </c>
    </row>
    <row r="34" spans="4:8" x14ac:dyDescent="0.2">
      <c r="D34" s="97" t="s">
        <v>72</v>
      </c>
      <c r="E34" s="91" t="s">
        <v>74</v>
      </c>
      <c r="F34" s="106">
        <f>'WIN.TYPE MODEL - F1'!I30</f>
        <v>0.5807938906741863</v>
      </c>
      <c r="G34" s="106">
        <f>'WIN.TYPE MODEL - F1'!J30</f>
        <v>0.27970911276365001</v>
      </c>
      <c r="H34" s="108">
        <f>'WIN.TYPE MODEL - F1'!K30</f>
        <v>0.13949699656216372</v>
      </c>
    </row>
    <row r="35" spans="4:8" x14ac:dyDescent="0.2">
      <c r="D35" s="100" t="s">
        <v>73</v>
      </c>
      <c r="E35" s="101" t="s">
        <v>74</v>
      </c>
      <c r="F35" s="107">
        <f>'WIN.TYPE MODEL - F1'!N30</f>
        <v>0.30772417339472274</v>
      </c>
      <c r="G35" s="107">
        <f>'WIN.TYPE MODEL - F1'!O30</f>
        <v>0.39886443785053716</v>
      </c>
      <c r="H35" s="109">
        <f>'WIN.TYPE MODEL - F1'!P30</f>
        <v>0.29341138875474004</v>
      </c>
    </row>
    <row r="37" spans="4:8" x14ac:dyDescent="0.2">
      <c r="D37" s="183" t="s">
        <v>79</v>
      </c>
      <c r="E37" s="184"/>
      <c r="F37" s="104" t="s">
        <v>75</v>
      </c>
      <c r="G37" s="104" t="s">
        <v>76</v>
      </c>
      <c r="H37" s="105" t="s">
        <v>77</v>
      </c>
    </row>
    <row r="38" spans="4:8" x14ac:dyDescent="0.2">
      <c r="D38" s="97" t="s">
        <v>71</v>
      </c>
      <c r="E38" s="91" t="s">
        <v>74</v>
      </c>
      <c r="F38" s="106">
        <f>'WIN.TYPE MODEL - F2'!D30</f>
        <v>0.52131264497966134</v>
      </c>
      <c r="G38" s="106">
        <f>'WIN.TYPE MODEL - F2'!E30</f>
        <v>0.42686789434135985</v>
      </c>
      <c r="H38" s="108">
        <f>'WIN.TYPE MODEL - F2'!F30</f>
        <v>5.1819460678979003E-2</v>
      </c>
    </row>
    <row r="39" spans="4:8" x14ac:dyDescent="0.2">
      <c r="D39" s="97" t="s">
        <v>72</v>
      </c>
      <c r="E39" s="91" t="s">
        <v>74</v>
      </c>
      <c r="F39" s="106">
        <f>'WIN.TYPE MODEL - F2'!I30</f>
        <v>0.64920534939070851</v>
      </c>
      <c r="G39" s="106">
        <f>'WIN.TYPE MODEL - F2'!J30</f>
        <v>0.12836314854524927</v>
      </c>
      <c r="H39" s="108">
        <f>'WIN.TYPE MODEL - F2'!K30</f>
        <v>0.22243150206404205</v>
      </c>
    </row>
    <row r="40" spans="4:8" x14ac:dyDescent="0.2">
      <c r="D40" s="100" t="s">
        <v>73</v>
      </c>
      <c r="E40" s="101" t="s">
        <v>74</v>
      </c>
      <c r="F40" s="107">
        <f>'WIN.TYPE MODEL - F2'!N30</f>
        <v>0.48630172390291154</v>
      </c>
      <c r="G40" s="107">
        <f>'WIN.TYPE MODEL - F2'!O30</f>
        <v>0.34391146117120208</v>
      </c>
      <c r="H40" s="109">
        <f>'WIN.TYPE MODEL - F2'!P30</f>
        <v>0.16978681492588654</v>
      </c>
    </row>
    <row r="44" spans="4:8" x14ac:dyDescent="0.2">
      <c r="E44" s="47" t="s">
        <v>80</v>
      </c>
      <c r="F44" s="47" t="s">
        <v>71</v>
      </c>
    </row>
    <row r="45" spans="4:8" x14ac:dyDescent="0.2">
      <c r="E45" s="47" t="s">
        <v>81</v>
      </c>
      <c r="F45" s="47" t="s">
        <v>71</v>
      </c>
    </row>
    <row r="46" spans="4:8" x14ac:dyDescent="0.2">
      <c r="E46" s="47" t="s">
        <v>82</v>
      </c>
      <c r="F46" s="47" t="s">
        <v>71</v>
      </c>
    </row>
    <row r="47" spans="4:8" x14ac:dyDescent="0.2">
      <c r="E47" s="47" t="s">
        <v>83</v>
      </c>
      <c r="F47" s="47" t="s">
        <v>72</v>
      </c>
    </row>
    <row r="48" spans="4:8" x14ac:dyDescent="0.2">
      <c r="E48" s="47" t="s">
        <v>84</v>
      </c>
      <c r="F48" s="47" t="s">
        <v>72</v>
      </c>
    </row>
    <row r="49" spans="5:6" x14ac:dyDescent="0.2">
      <c r="E49" s="47" t="s">
        <v>85</v>
      </c>
      <c r="F49" s="47" t="s">
        <v>73</v>
      </c>
    </row>
    <row r="50" spans="5:6" x14ac:dyDescent="0.2">
      <c r="E50" s="47" t="s">
        <v>86</v>
      </c>
      <c r="F50" s="47" t="s">
        <v>73</v>
      </c>
    </row>
    <row r="51" spans="5:6" x14ac:dyDescent="0.2">
      <c r="E51" s="47" t="s">
        <v>87</v>
      </c>
      <c r="F51" s="47" t="s">
        <v>73</v>
      </c>
    </row>
  </sheetData>
  <mergeCells count="2">
    <mergeCell ref="D32:E32"/>
    <mergeCell ref="D37:E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1506"/>
  <sheetViews>
    <sheetView workbookViewId="0">
      <selection activeCell="C1510" sqref="C1510"/>
    </sheetView>
  </sheetViews>
  <sheetFormatPr baseColWidth="10" defaultRowHeight="16" x14ac:dyDescent="0.2"/>
  <cols>
    <col min="1" max="1" width="29.5" style="111" bestFit="1" customWidth="1"/>
    <col min="2" max="2" width="18.33203125" style="111" bestFit="1" customWidth="1"/>
    <col min="3" max="4" width="27.33203125" style="111" bestFit="1" customWidth="1"/>
    <col min="5" max="5" width="27.83203125" style="111" bestFit="1" customWidth="1"/>
    <col min="6" max="6" width="29.1640625" style="111" bestFit="1" customWidth="1"/>
    <col min="7" max="7" width="23.6640625" style="111" bestFit="1" customWidth="1"/>
    <col min="8" max="8" width="20.83203125" style="111" bestFit="1" customWidth="1"/>
    <col min="9" max="9" width="24.5" style="111" bestFit="1" customWidth="1"/>
    <col min="10" max="10" width="25.33203125" style="111" bestFit="1" customWidth="1"/>
    <col min="11" max="11" width="20.83203125" style="111" bestFit="1" customWidth="1"/>
  </cols>
  <sheetData>
    <row r="1" spans="1:12" x14ac:dyDescent="0.2">
      <c r="A1" s="111" t="s">
        <v>90</v>
      </c>
      <c r="B1" s="111" t="s">
        <v>60</v>
      </c>
      <c r="C1" s="120" t="s">
        <v>62</v>
      </c>
      <c r="D1" s="120" t="s">
        <v>61</v>
      </c>
      <c r="E1" s="120" t="s">
        <v>63</v>
      </c>
      <c r="F1" s="120" t="s">
        <v>65</v>
      </c>
      <c r="G1" s="120" t="s">
        <v>64</v>
      </c>
      <c r="H1" s="120" t="s">
        <v>66</v>
      </c>
      <c r="I1" s="120" t="s">
        <v>67</v>
      </c>
      <c r="J1" s="120" t="s">
        <v>68</v>
      </c>
      <c r="K1" s="120" t="s">
        <v>69</v>
      </c>
      <c r="L1" s="145" t="s">
        <v>1599</v>
      </c>
    </row>
    <row r="2" spans="1:12" x14ac:dyDescent="0.2">
      <c r="A2" s="111" t="s">
        <v>91</v>
      </c>
      <c r="B2" s="132">
        <v>42</v>
      </c>
      <c r="C2" s="111">
        <v>190.5</v>
      </c>
      <c r="D2" s="111">
        <v>92.986360000000005</v>
      </c>
      <c r="E2" s="111">
        <v>76.85745</v>
      </c>
      <c r="F2" s="111">
        <v>1</v>
      </c>
      <c r="G2" s="133">
        <v>0</v>
      </c>
      <c r="H2" s="111">
        <v>0</v>
      </c>
      <c r="I2" s="111">
        <v>0</v>
      </c>
      <c r="J2" s="111">
        <v>0</v>
      </c>
      <c r="K2" s="111">
        <v>0</v>
      </c>
      <c r="L2">
        <v>0</v>
      </c>
    </row>
    <row r="3" spans="1:12" x14ac:dyDescent="0.2">
      <c r="A3" s="111" t="s">
        <v>92</v>
      </c>
      <c r="B3" s="132">
        <v>27</v>
      </c>
      <c r="C3" s="111">
        <v>175.26</v>
      </c>
      <c r="D3" s="111">
        <v>61.234920000000002</v>
      </c>
      <c r="E3" s="111">
        <v>70</v>
      </c>
      <c r="F3" s="111">
        <v>2</v>
      </c>
      <c r="G3" s="133">
        <v>0</v>
      </c>
      <c r="H3" s="111">
        <v>28</v>
      </c>
      <c r="I3" s="111">
        <v>0</v>
      </c>
      <c r="J3" s="111">
        <v>0.5</v>
      </c>
      <c r="K3" s="111">
        <v>0.5</v>
      </c>
      <c r="L3">
        <v>1</v>
      </c>
    </row>
    <row r="4" spans="1:12" x14ac:dyDescent="0.2">
      <c r="A4" s="111" t="s">
        <v>93</v>
      </c>
      <c r="B4" s="132">
        <v>36</v>
      </c>
      <c r="C4" s="111">
        <v>172.72</v>
      </c>
      <c r="D4" s="111">
        <v>70.306759999999997</v>
      </c>
      <c r="E4" s="111">
        <v>69</v>
      </c>
      <c r="F4" s="111">
        <v>9</v>
      </c>
      <c r="G4" s="133">
        <v>0.33333333333333331</v>
      </c>
      <c r="H4" s="111">
        <v>34.888888888888886</v>
      </c>
      <c r="I4" s="111">
        <v>0.88888888888888884</v>
      </c>
      <c r="J4" s="111">
        <v>0.1111111111111111</v>
      </c>
      <c r="K4" s="111">
        <v>0.77777777777777779</v>
      </c>
      <c r="L4">
        <v>1</v>
      </c>
    </row>
    <row r="5" spans="1:12" x14ac:dyDescent="0.2">
      <c r="A5" s="111" t="s">
        <v>94</v>
      </c>
      <c r="B5" s="132">
        <v>33</v>
      </c>
      <c r="C5" s="111">
        <v>193.04</v>
      </c>
      <c r="D5" s="111">
        <v>92.986360000000005</v>
      </c>
      <c r="E5" s="111">
        <v>78</v>
      </c>
      <c r="F5" s="111">
        <v>3</v>
      </c>
      <c r="G5" s="133">
        <v>0.33333333333333331</v>
      </c>
      <c r="H5" s="111">
        <v>44</v>
      </c>
      <c r="I5" s="111">
        <v>0</v>
      </c>
      <c r="J5" s="111">
        <v>0</v>
      </c>
      <c r="K5" s="111">
        <v>0</v>
      </c>
      <c r="L5">
        <v>0</v>
      </c>
    </row>
    <row r="6" spans="1:12" x14ac:dyDescent="0.2">
      <c r="A6" s="111" t="s">
        <v>95</v>
      </c>
      <c r="B6" s="132">
        <v>42</v>
      </c>
      <c r="C6" s="111">
        <v>182.88</v>
      </c>
      <c r="D6" s="111">
        <v>77.110640000000004</v>
      </c>
      <c r="E6" s="111">
        <v>73</v>
      </c>
      <c r="F6" s="111">
        <v>11</v>
      </c>
      <c r="G6" s="133">
        <v>0.63636363636363635</v>
      </c>
      <c r="H6" s="111">
        <v>41.272727272727273</v>
      </c>
      <c r="I6" s="111">
        <v>2.9090909090909092</v>
      </c>
      <c r="J6" s="111">
        <v>0.36363636363636365</v>
      </c>
      <c r="K6" s="111">
        <v>1.0909090909090908</v>
      </c>
      <c r="L6">
        <v>0</v>
      </c>
    </row>
    <row r="7" spans="1:12" x14ac:dyDescent="0.2">
      <c r="A7" s="111" t="s">
        <v>96</v>
      </c>
      <c r="B7" s="132" t="s">
        <v>1596</v>
      </c>
      <c r="C7" s="111">
        <v>177.8</v>
      </c>
      <c r="D7" s="111">
        <v>70.306759999999997</v>
      </c>
      <c r="E7" s="111">
        <v>71.832059999999998</v>
      </c>
      <c r="F7" s="111">
        <v>1</v>
      </c>
      <c r="G7" s="133">
        <v>0</v>
      </c>
      <c r="H7" s="111">
        <v>0</v>
      </c>
      <c r="I7" s="111">
        <v>1</v>
      </c>
      <c r="J7" s="111">
        <v>0</v>
      </c>
      <c r="K7" s="111">
        <v>0</v>
      </c>
      <c r="L7">
        <v>0</v>
      </c>
    </row>
    <row r="8" spans="1:12" x14ac:dyDescent="0.2">
      <c r="A8" s="111" t="s">
        <v>97</v>
      </c>
      <c r="B8" s="132">
        <v>33</v>
      </c>
      <c r="C8" s="111">
        <v>172.72</v>
      </c>
      <c r="D8" s="111">
        <v>70.306759999999997</v>
      </c>
      <c r="E8" s="111">
        <v>70</v>
      </c>
      <c r="F8" s="111">
        <v>8</v>
      </c>
      <c r="G8" s="133">
        <v>0.5</v>
      </c>
      <c r="H8" s="111">
        <v>25.125</v>
      </c>
      <c r="I8" s="111">
        <v>1.5</v>
      </c>
      <c r="J8" s="111">
        <v>0.5</v>
      </c>
      <c r="K8" s="111">
        <v>0.875</v>
      </c>
      <c r="L8">
        <v>0</v>
      </c>
    </row>
    <row r="9" spans="1:12" x14ac:dyDescent="0.2">
      <c r="A9" s="111" t="s">
        <v>98</v>
      </c>
      <c r="B9" s="132">
        <v>34</v>
      </c>
      <c r="C9" s="111">
        <v>180.34</v>
      </c>
      <c r="D9" s="111">
        <v>70.306759999999997</v>
      </c>
      <c r="E9" s="111">
        <v>71</v>
      </c>
      <c r="F9" s="111">
        <v>1</v>
      </c>
      <c r="G9" s="133">
        <v>0</v>
      </c>
      <c r="H9" s="111">
        <v>94</v>
      </c>
      <c r="I9" s="111">
        <v>2</v>
      </c>
      <c r="J9" s="111">
        <v>0</v>
      </c>
      <c r="K9" s="111">
        <v>1</v>
      </c>
      <c r="L9">
        <v>0</v>
      </c>
    </row>
    <row r="10" spans="1:12" x14ac:dyDescent="0.2">
      <c r="A10" s="111" t="s">
        <v>99</v>
      </c>
      <c r="B10" s="132" t="s">
        <v>1596</v>
      </c>
      <c r="C10" s="111">
        <v>187.96</v>
      </c>
      <c r="D10" s="111">
        <v>77.110640000000004</v>
      </c>
      <c r="E10" s="111">
        <v>78</v>
      </c>
      <c r="F10" s="111">
        <v>1</v>
      </c>
      <c r="G10" s="133">
        <v>0</v>
      </c>
      <c r="H10" s="111">
        <v>2</v>
      </c>
      <c r="I10" s="111">
        <v>0</v>
      </c>
      <c r="J10" s="111">
        <v>0</v>
      </c>
      <c r="K10" s="111">
        <v>0</v>
      </c>
      <c r="L10">
        <v>0</v>
      </c>
    </row>
    <row r="11" spans="1:12" x14ac:dyDescent="0.2">
      <c r="A11" s="111" t="s">
        <v>100</v>
      </c>
      <c r="B11" s="132">
        <v>30</v>
      </c>
      <c r="C11" s="111">
        <v>187.96</v>
      </c>
      <c r="D11" s="111">
        <v>77.110640000000004</v>
      </c>
      <c r="E11" s="111">
        <v>76</v>
      </c>
      <c r="F11" s="111">
        <v>2</v>
      </c>
      <c r="G11" s="133">
        <v>1</v>
      </c>
      <c r="H11" s="111">
        <v>26.5</v>
      </c>
      <c r="I11" s="111">
        <v>3</v>
      </c>
      <c r="J11" s="111">
        <v>0</v>
      </c>
      <c r="K11" s="111">
        <v>0.5</v>
      </c>
      <c r="L11">
        <v>0</v>
      </c>
    </row>
    <row r="12" spans="1:12" x14ac:dyDescent="0.2">
      <c r="A12" s="111" t="s">
        <v>101</v>
      </c>
      <c r="B12" s="132">
        <v>34</v>
      </c>
      <c r="C12" s="111">
        <v>177.8</v>
      </c>
      <c r="D12" s="111">
        <v>70.306759999999997</v>
      </c>
      <c r="E12" s="111">
        <v>72</v>
      </c>
      <c r="F12" s="111">
        <v>5</v>
      </c>
      <c r="G12" s="133">
        <v>0.8</v>
      </c>
      <c r="H12" s="111">
        <v>10.6</v>
      </c>
      <c r="I12" s="111">
        <v>0.8</v>
      </c>
      <c r="J12" s="111">
        <v>0.2</v>
      </c>
      <c r="K12" s="111">
        <v>1.2</v>
      </c>
      <c r="L12">
        <v>1</v>
      </c>
    </row>
    <row r="13" spans="1:12" x14ac:dyDescent="0.2">
      <c r="A13" s="111" t="s">
        <v>102</v>
      </c>
      <c r="B13" s="132">
        <v>29</v>
      </c>
      <c r="C13" s="111">
        <v>157.47999999999999</v>
      </c>
      <c r="D13" s="111">
        <v>52.163080000000001</v>
      </c>
      <c r="E13" s="111">
        <v>64</v>
      </c>
      <c r="F13" s="111">
        <v>3</v>
      </c>
      <c r="G13" s="133">
        <v>0.66666666666666663</v>
      </c>
      <c r="H13" s="111">
        <v>34</v>
      </c>
      <c r="I13" s="111">
        <v>1.6666666666666667</v>
      </c>
      <c r="J13" s="111">
        <v>0.66666666666666663</v>
      </c>
      <c r="K13" s="111">
        <v>2.3333333333333335</v>
      </c>
      <c r="L13">
        <v>0</v>
      </c>
    </row>
    <row r="14" spans="1:12" x14ac:dyDescent="0.2">
      <c r="A14" s="111" t="s">
        <v>103</v>
      </c>
      <c r="B14" s="132">
        <v>33</v>
      </c>
      <c r="C14" s="111">
        <v>177.8</v>
      </c>
      <c r="D14" s="111">
        <v>70.306759999999997</v>
      </c>
      <c r="E14" s="111">
        <v>71</v>
      </c>
      <c r="F14" s="111">
        <v>4</v>
      </c>
      <c r="G14" s="133">
        <v>0.25</v>
      </c>
      <c r="H14" s="111">
        <v>24.25</v>
      </c>
      <c r="I14" s="111">
        <v>0.75</v>
      </c>
      <c r="J14" s="111">
        <v>0.25</v>
      </c>
      <c r="K14" s="111">
        <v>1.25</v>
      </c>
      <c r="L14">
        <v>1</v>
      </c>
    </row>
    <row r="15" spans="1:12" x14ac:dyDescent="0.2">
      <c r="A15" s="111" t="s">
        <v>104</v>
      </c>
      <c r="B15" s="132">
        <v>42</v>
      </c>
      <c r="C15" s="111">
        <v>170.18</v>
      </c>
      <c r="D15" s="111">
        <v>77.110640000000004</v>
      </c>
      <c r="E15" s="111">
        <v>68</v>
      </c>
      <c r="F15" s="111">
        <v>3</v>
      </c>
      <c r="G15" s="133">
        <v>0.33333333333333331</v>
      </c>
      <c r="H15" s="111">
        <v>30</v>
      </c>
      <c r="I15" s="111">
        <v>1.3333333333333333</v>
      </c>
      <c r="J15" s="111">
        <v>0.33333333333333331</v>
      </c>
      <c r="K15" s="111">
        <v>1.3333333333333333</v>
      </c>
      <c r="L15">
        <v>0</v>
      </c>
    </row>
    <row r="16" spans="1:12" x14ac:dyDescent="0.2">
      <c r="A16" s="111" t="s">
        <v>105</v>
      </c>
      <c r="B16" s="132">
        <v>34</v>
      </c>
      <c r="C16" s="111">
        <v>172.72</v>
      </c>
      <c r="D16" s="111">
        <v>65.770840000000007</v>
      </c>
      <c r="E16" s="111">
        <v>68</v>
      </c>
      <c r="F16" s="111">
        <v>6</v>
      </c>
      <c r="G16" s="133">
        <v>0.5</v>
      </c>
      <c r="H16" s="111">
        <v>23.166666666666668</v>
      </c>
      <c r="I16" s="111">
        <v>0.33333333333333331</v>
      </c>
      <c r="J16" s="111">
        <v>0</v>
      </c>
      <c r="K16" s="111">
        <v>0.16666666666666666</v>
      </c>
      <c r="L16">
        <v>0</v>
      </c>
    </row>
    <row r="17" spans="1:12" x14ac:dyDescent="0.2">
      <c r="A17" s="111" t="s">
        <v>106</v>
      </c>
      <c r="B17" s="132">
        <v>29</v>
      </c>
      <c r="C17" s="111">
        <v>175.26</v>
      </c>
      <c r="D17" s="111">
        <v>70.306759999999997</v>
      </c>
      <c r="E17" s="111">
        <v>70</v>
      </c>
      <c r="F17" s="111">
        <v>9</v>
      </c>
      <c r="G17" s="133">
        <v>0.77777777777777779</v>
      </c>
      <c r="H17" s="111">
        <v>52.555555555555557</v>
      </c>
      <c r="I17" s="111">
        <v>0.88888888888888884</v>
      </c>
      <c r="J17" s="111">
        <v>0.33333333333333331</v>
      </c>
      <c r="K17" s="111">
        <v>0.66666666666666663</v>
      </c>
      <c r="L17">
        <v>0</v>
      </c>
    </row>
    <row r="18" spans="1:12" x14ac:dyDescent="0.2">
      <c r="A18" s="111" t="s">
        <v>107</v>
      </c>
      <c r="B18" s="132">
        <v>32</v>
      </c>
      <c r="C18" s="111">
        <v>187.96</v>
      </c>
      <c r="D18" s="111">
        <v>83.914519999999996</v>
      </c>
      <c r="E18" s="111">
        <v>73</v>
      </c>
      <c r="F18" s="111">
        <v>15</v>
      </c>
      <c r="G18" s="133">
        <v>0.6</v>
      </c>
      <c r="H18" s="111">
        <v>24.8</v>
      </c>
      <c r="I18" s="111">
        <v>0.26666666666666666</v>
      </c>
      <c r="J18" s="111">
        <v>0.53333333333333333</v>
      </c>
      <c r="K18" s="111">
        <v>0.6</v>
      </c>
      <c r="L18">
        <v>0</v>
      </c>
    </row>
    <row r="19" spans="1:12" x14ac:dyDescent="0.2">
      <c r="A19" s="111" t="s">
        <v>108</v>
      </c>
      <c r="B19" s="132">
        <v>34</v>
      </c>
      <c r="C19" s="111">
        <v>182.88</v>
      </c>
      <c r="D19" s="111">
        <v>77.110640000000004</v>
      </c>
      <c r="E19" s="111">
        <v>73</v>
      </c>
      <c r="F19" s="111">
        <v>5</v>
      </c>
      <c r="G19" s="133">
        <v>0.6</v>
      </c>
      <c r="H19" s="111">
        <v>36.799999999999997</v>
      </c>
      <c r="I19" s="111">
        <v>0.2</v>
      </c>
      <c r="J19" s="111">
        <v>0</v>
      </c>
      <c r="K19" s="111">
        <v>0</v>
      </c>
      <c r="L19">
        <v>1</v>
      </c>
    </row>
    <row r="20" spans="1:12" x14ac:dyDescent="0.2">
      <c r="A20" s="111" t="s">
        <v>109</v>
      </c>
      <c r="B20" s="132">
        <v>28</v>
      </c>
      <c r="C20" s="111">
        <v>177.8</v>
      </c>
      <c r="D20" s="111">
        <v>65.770840000000007</v>
      </c>
      <c r="E20" s="111">
        <v>71</v>
      </c>
      <c r="F20" s="111">
        <v>2</v>
      </c>
      <c r="G20" s="133">
        <v>0</v>
      </c>
      <c r="H20" s="111">
        <v>46.5</v>
      </c>
      <c r="I20" s="111">
        <v>1.5</v>
      </c>
      <c r="J20" s="111">
        <v>0</v>
      </c>
      <c r="K20" s="111">
        <v>1.5</v>
      </c>
      <c r="L20">
        <v>0</v>
      </c>
    </row>
    <row r="21" spans="1:12" x14ac:dyDescent="0.2">
      <c r="A21" s="111" t="s">
        <v>110</v>
      </c>
      <c r="B21" s="132">
        <v>33</v>
      </c>
      <c r="C21" s="111">
        <v>180.34</v>
      </c>
      <c r="D21" s="111">
        <v>70.306759999999997</v>
      </c>
      <c r="E21" s="111">
        <v>74</v>
      </c>
      <c r="F21" s="111">
        <v>3</v>
      </c>
      <c r="G21" s="133">
        <v>0.66666666666666663</v>
      </c>
      <c r="H21" s="111">
        <v>24.333333333333332</v>
      </c>
      <c r="I21" s="111">
        <v>1</v>
      </c>
      <c r="J21" s="111">
        <v>0</v>
      </c>
      <c r="K21" s="111">
        <v>0</v>
      </c>
      <c r="L21">
        <v>1</v>
      </c>
    </row>
    <row r="22" spans="1:12" x14ac:dyDescent="0.2">
      <c r="A22" s="111" t="s">
        <v>111</v>
      </c>
      <c r="B22" s="132">
        <v>31</v>
      </c>
      <c r="C22" s="111">
        <v>180.34</v>
      </c>
      <c r="D22" s="111">
        <v>77.110640000000004</v>
      </c>
      <c r="E22" s="111">
        <v>72.837137999999996</v>
      </c>
      <c r="F22" s="111">
        <v>1</v>
      </c>
      <c r="G22" s="133">
        <v>0</v>
      </c>
      <c r="H22" s="111">
        <v>5</v>
      </c>
      <c r="I22" s="111">
        <v>0</v>
      </c>
      <c r="J22" s="111">
        <v>0</v>
      </c>
      <c r="K22" s="111">
        <v>0</v>
      </c>
      <c r="L22">
        <v>0</v>
      </c>
    </row>
    <row r="23" spans="1:12" x14ac:dyDescent="0.2">
      <c r="A23" s="111" t="s">
        <v>112</v>
      </c>
      <c r="B23" s="132">
        <v>25</v>
      </c>
      <c r="C23" s="111">
        <v>180.34</v>
      </c>
      <c r="D23" s="111">
        <v>77.110640000000004</v>
      </c>
      <c r="E23" s="111">
        <v>73</v>
      </c>
      <c r="F23" s="111">
        <v>6</v>
      </c>
      <c r="G23" s="133">
        <v>0.83333333333333337</v>
      </c>
      <c r="H23" s="111">
        <v>37.333333333333336</v>
      </c>
      <c r="I23" s="111">
        <v>0.16666666666666666</v>
      </c>
      <c r="J23" s="111">
        <v>0</v>
      </c>
      <c r="K23" s="111">
        <v>0</v>
      </c>
      <c r="L23">
        <v>0</v>
      </c>
    </row>
    <row r="24" spans="1:12" x14ac:dyDescent="0.2">
      <c r="A24" s="111" t="s">
        <v>113</v>
      </c>
      <c r="B24" s="132" t="s">
        <v>1596</v>
      </c>
      <c r="F24" s="111">
        <v>1</v>
      </c>
      <c r="G24" s="133">
        <v>0</v>
      </c>
      <c r="H24" s="111">
        <v>1</v>
      </c>
      <c r="I24" s="111">
        <v>0</v>
      </c>
      <c r="J24" s="111">
        <v>0</v>
      </c>
      <c r="K24" s="111">
        <v>0</v>
      </c>
      <c r="L24">
        <v>0</v>
      </c>
    </row>
    <row r="25" spans="1:12" x14ac:dyDescent="0.2">
      <c r="A25" s="111" t="s">
        <v>114</v>
      </c>
      <c r="B25" s="132">
        <v>40</v>
      </c>
      <c r="C25" s="111">
        <v>165.1</v>
      </c>
      <c r="D25" s="111">
        <v>70.306759999999997</v>
      </c>
      <c r="E25" s="111">
        <v>66.806669999999997</v>
      </c>
      <c r="F25" s="111">
        <v>2</v>
      </c>
      <c r="G25" s="133">
        <v>0</v>
      </c>
      <c r="H25" s="111">
        <v>4</v>
      </c>
      <c r="I25" s="111">
        <v>0</v>
      </c>
      <c r="J25" s="111">
        <v>2.5</v>
      </c>
      <c r="K25" s="111">
        <v>1.5</v>
      </c>
      <c r="L25">
        <v>0</v>
      </c>
    </row>
    <row r="26" spans="1:12" x14ac:dyDescent="0.2">
      <c r="A26" s="111" t="s">
        <v>115</v>
      </c>
      <c r="B26" s="132">
        <v>34</v>
      </c>
      <c r="C26" s="111">
        <v>182.88</v>
      </c>
      <c r="D26" s="111">
        <v>77.110640000000004</v>
      </c>
      <c r="E26" s="111">
        <v>77</v>
      </c>
      <c r="F26" s="111">
        <v>2</v>
      </c>
      <c r="G26" s="133">
        <v>1</v>
      </c>
      <c r="H26" s="111">
        <v>51.5</v>
      </c>
      <c r="I26" s="111">
        <v>1</v>
      </c>
      <c r="J26" s="111">
        <v>0</v>
      </c>
      <c r="K26" s="111">
        <v>0.5</v>
      </c>
      <c r="L26">
        <v>0</v>
      </c>
    </row>
    <row r="27" spans="1:12" x14ac:dyDescent="0.2">
      <c r="A27" s="111" t="s">
        <v>116</v>
      </c>
      <c r="B27" s="132" t="s">
        <v>1596</v>
      </c>
      <c r="C27" s="111">
        <v>167.64</v>
      </c>
      <c r="D27" s="111">
        <v>61.234920000000002</v>
      </c>
      <c r="E27" s="111">
        <v>67</v>
      </c>
      <c r="F27" s="111">
        <v>3</v>
      </c>
      <c r="G27" s="133">
        <v>0.66666666666666663</v>
      </c>
      <c r="H27" s="111">
        <v>25.666666666666668</v>
      </c>
      <c r="I27" s="111">
        <v>0.33333333333333331</v>
      </c>
      <c r="J27" s="111">
        <v>0.33333333333333331</v>
      </c>
      <c r="K27" s="111">
        <v>0.33333333333333331</v>
      </c>
      <c r="L27">
        <v>0</v>
      </c>
    </row>
    <row r="28" spans="1:12" x14ac:dyDescent="0.2">
      <c r="A28" s="111" t="s">
        <v>117</v>
      </c>
      <c r="B28" s="132">
        <v>26</v>
      </c>
      <c r="F28" s="111">
        <v>1</v>
      </c>
      <c r="G28" s="133">
        <v>1</v>
      </c>
      <c r="H28" s="111">
        <v>42</v>
      </c>
      <c r="I28" s="111">
        <v>0</v>
      </c>
      <c r="J28" s="111">
        <v>1</v>
      </c>
      <c r="K28" s="111">
        <v>0</v>
      </c>
      <c r="L28">
        <v>0</v>
      </c>
    </row>
    <row r="29" spans="1:12" x14ac:dyDescent="0.2">
      <c r="A29" s="111" t="s">
        <v>118</v>
      </c>
      <c r="B29" s="132">
        <v>35</v>
      </c>
      <c r="C29" s="111">
        <v>182.88</v>
      </c>
      <c r="D29" s="111">
        <v>83.914519999999996</v>
      </c>
      <c r="E29" s="111">
        <v>72</v>
      </c>
      <c r="F29" s="111">
        <v>15</v>
      </c>
      <c r="G29" s="133">
        <v>0.4</v>
      </c>
      <c r="H29" s="111">
        <v>19.933333333333334</v>
      </c>
      <c r="I29" s="111">
        <v>0.73333333333333328</v>
      </c>
      <c r="J29" s="111">
        <v>0</v>
      </c>
      <c r="K29" s="111">
        <v>0.26666666666666666</v>
      </c>
      <c r="L29">
        <v>0</v>
      </c>
    </row>
    <row r="30" spans="1:12" x14ac:dyDescent="0.2">
      <c r="A30" s="111" t="s">
        <v>119</v>
      </c>
      <c r="B30" s="132">
        <v>42</v>
      </c>
      <c r="C30" s="111">
        <v>180.34</v>
      </c>
      <c r="D30" s="111">
        <v>90.718400000000003</v>
      </c>
      <c r="E30" s="111">
        <v>72.837137999999996</v>
      </c>
      <c r="F30" s="111">
        <v>1</v>
      </c>
      <c r="G30" s="133">
        <v>0</v>
      </c>
      <c r="H30" s="111">
        <v>12</v>
      </c>
      <c r="I30" s="111">
        <v>0</v>
      </c>
      <c r="J30" s="111">
        <v>0</v>
      </c>
      <c r="K30" s="111">
        <v>0</v>
      </c>
      <c r="L30">
        <v>0</v>
      </c>
    </row>
    <row r="31" spans="1:12" x14ac:dyDescent="0.2">
      <c r="A31" s="111" t="s">
        <v>120</v>
      </c>
      <c r="B31" s="132">
        <v>28</v>
      </c>
      <c r="C31" s="111">
        <v>177.8</v>
      </c>
      <c r="D31" s="111">
        <v>65.770840000000007</v>
      </c>
      <c r="E31" s="111">
        <v>73</v>
      </c>
      <c r="F31" s="111">
        <v>13</v>
      </c>
      <c r="G31" s="133">
        <v>0.46153846153846156</v>
      </c>
      <c r="H31" s="111">
        <v>42.46153846153846</v>
      </c>
      <c r="I31" s="111">
        <v>0.23076923076923078</v>
      </c>
      <c r="J31" s="111">
        <v>0.92307692307692313</v>
      </c>
      <c r="K31" s="111">
        <v>1.0769230769230769</v>
      </c>
      <c r="L31">
        <v>1</v>
      </c>
    </row>
    <row r="32" spans="1:12" x14ac:dyDescent="0.2">
      <c r="A32" s="111" t="s">
        <v>121</v>
      </c>
      <c r="B32" s="132">
        <v>38</v>
      </c>
      <c r="C32" s="111">
        <v>160.02000000000001</v>
      </c>
      <c r="D32" s="111">
        <v>52.163080000000001</v>
      </c>
      <c r="E32" s="111">
        <v>63</v>
      </c>
      <c r="F32" s="111">
        <v>3</v>
      </c>
      <c r="G32" s="133">
        <v>0.33333333333333331</v>
      </c>
      <c r="H32" s="111">
        <v>28.666666666666668</v>
      </c>
      <c r="I32" s="111">
        <v>1</v>
      </c>
      <c r="J32" s="111">
        <v>1</v>
      </c>
      <c r="K32" s="111">
        <v>0.33333333333333331</v>
      </c>
      <c r="L32">
        <v>0</v>
      </c>
    </row>
    <row r="33" spans="1:12" x14ac:dyDescent="0.2">
      <c r="A33" s="111" t="s">
        <v>122</v>
      </c>
      <c r="B33" s="132">
        <v>29</v>
      </c>
      <c r="C33" s="111">
        <v>175.26</v>
      </c>
      <c r="D33" s="111">
        <v>77.110640000000004</v>
      </c>
      <c r="E33" s="111">
        <v>72</v>
      </c>
      <c r="F33" s="111">
        <v>5</v>
      </c>
      <c r="G33" s="133">
        <v>0.6</v>
      </c>
      <c r="H33" s="111">
        <v>24.4</v>
      </c>
      <c r="I33" s="111">
        <v>3.8</v>
      </c>
      <c r="J33" s="111">
        <v>0</v>
      </c>
      <c r="K33" s="111">
        <v>2</v>
      </c>
      <c r="L33">
        <v>0</v>
      </c>
    </row>
    <row r="34" spans="1:12" x14ac:dyDescent="0.2">
      <c r="A34" s="111" t="s">
        <v>123</v>
      </c>
      <c r="B34" s="132" t="s">
        <v>1596</v>
      </c>
      <c r="C34" s="111">
        <v>175.26</v>
      </c>
      <c r="D34" s="111">
        <v>102.511792</v>
      </c>
      <c r="E34" s="111">
        <v>70.826982000000001</v>
      </c>
      <c r="F34" s="111">
        <v>2</v>
      </c>
      <c r="G34" s="133">
        <v>1</v>
      </c>
      <c r="H34" s="111">
        <v>9</v>
      </c>
      <c r="I34" s="111">
        <v>1</v>
      </c>
      <c r="J34" s="111">
        <v>0</v>
      </c>
      <c r="K34" s="111">
        <v>3</v>
      </c>
      <c r="L34">
        <v>0</v>
      </c>
    </row>
    <row r="35" spans="1:12" x14ac:dyDescent="0.2">
      <c r="A35" s="111" t="s">
        <v>124</v>
      </c>
      <c r="B35" s="132">
        <v>39</v>
      </c>
      <c r="C35" s="111">
        <v>172.72</v>
      </c>
      <c r="D35" s="111">
        <v>70.306759999999997</v>
      </c>
      <c r="E35" s="111">
        <v>66</v>
      </c>
      <c r="F35" s="111">
        <v>3</v>
      </c>
      <c r="G35" s="133">
        <v>0.33333333333333331</v>
      </c>
      <c r="H35" s="111">
        <v>14</v>
      </c>
      <c r="I35" s="111">
        <v>0.33333333333333331</v>
      </c>
      <c r="J35" s="111">
        <v>1</v>
      </c>
      <c r="K35" s="111">
        <v>0.33333333333333331</v>
      </c>
      <c r="L35">
        <v>0</v>
      </c>
    </row>
    <row r="36" spans="1:12" x14ac:dyDescent="0.2">
      <c r="A36" s="111" t="s">
        <v>125</v>
      </c>
      <c r="B36" s="132">
        <v>26</v>
      </c>
      <c r="C36" s="111">
        <v>180.34</v>
      </c>
      <c r="D36" s="111">
        <v>77.110640000000004</v>
      </c>
      <c r="E36" s="111">
        <v>72</v>
      </c>
      <c r="F36" s="111">
        <v>1</v>
      </c>
      <c r="G36" s="133">
        <v>1</v>
      </c>
      <c r="H36" s="111">
        <v>43</v>
      </c>
      <c r="I36" s="111">
        <v>0</v>
      </c>
      <c r="J36" s="111">
        <v>1</v>
      </c>
      <c r="K36" s="111">
        <v>1</v>
      </c>
      <c r="L36">
        <v>0</v>
      </c>
    </row>
    <row r="37" spans="1:12" x14ac:dyDescent="0.2">
      <c r="A37" s="111" t="s">
        <v>126</v>
      </c>
      <c r="B37" s="132">
        <v>26</v>
      </c>
      <c r="C37" s="111">
        <v>193.04</v>
      </c>
      <c r="D37" s="111">
        <v>92.986360000000005</v>
      </c>
      <c r="E37" s="111">
        <v>81</v>
      </c>
      <c r="F37" s="111">
        <v>1</v>
      </c>
      <c r="G37" s="133">
        <v>0</v>
      </c>
      <c r="H37" s="111">
        <v>16</v>
      </c>
      <c r="I37" s="111">
        <v>0</v>
      </c>
      <c r="J37" s="111">
        <v>0</v>
      </c>
      <c r="K37" s="111">
        <v>0</v>
      </c>
      <c r="L37">
        <v>0</v>
      </c>
    </row>
    <row r="38" spans="1:12" x14ac:dyDescent="0.2">
      <c r="A38" s="111" t="s">
        <v>127</v>
      </c>
      <c r="B38" s="132">
        <v>28</v>
      </c>
      <c r="C38" s="111">
        <v>180.34</v>
      </c>
      <c r="D38" s="111">
        <v>77.110640000000004</v>
      </c>
      <c r="E38" s="111">
        <v>76</v>
      </c>
      <c r="F38" s="111">
        <v>5</v>
      </c>
      <c r="G38" s="133">
        <v>0.6</v>
      </c>
      <c r="H38" s="111">
        <v>19.8</v>
      </c>
      <c r="I38" s="111">
        <v>1.6</v>
      </c>
      <c r="J38" s="111">
        <v>0.6</v>
      </c>
      <c r="K38" s="111">
        <v>1.8</v>
      </c>
      <c r="L38">
        <v>0</v>
      </c>
    </row>
    <row r="39" spans="1:12" x14ac:dyDescent="0.2">
      <c r="A39" s="111" t="s">
        <v>128</v>
      </c>
      <c r="B39" s="132">
        <v>40</v>
      </c>
      <c r="C39" s="111">
        <v>190.5</v>
      </c>
      <c r="D39" s="111">
        <v>83.914519999999996</v>
      </c>
      <c r="E39" s="111">
        <v>76.85745</v>
      </c>
      <c r="F39" s="111">
        <v>1</v>
      </c>
      <c r="G39" s="133">
        <v>0</v>
      </c>
      <c r="H39" s="111">
        <v>1</v>
      </c>
      <c r="I39" s="111">
        <v>0</v>
      </c>
      <c r="J39" s="111">
        <v>0</v>
      </c>
      <c r="K39" s="111">
        <v>0</v>
      </c>
      <c r="L39">
        <v>0</v>
      </c>
    </row>
    <row r="40" spans="1:12" x14ac:dyDescent="0.2">
      <c r="A40" s="111" t="s">
        <v>129</v>
      </c>
      <c r="B40" s="132">
        <v>32</v>
      </c>
      <c r="C40" s="111">
        <v>172.72</v>
      </c>
      <c r="D40" s="111">
        <v>61.234920000000002</v>
      </c>
      <c r="E40" s="111">
        <v>71</v>
      </c>
      <c r="F40" s="111">
        <v>2</v>
      </c>
      <c r="G40" s="133">
        <v>0</v>
      </c>
      <c r="H40" s="111">
        <v>23.5</v>
      </c>
      <c r="I40" s="111">
        <v>1.5</v>
      </c>
      <c r="J40" s="111">
        <v>0</v>
      </c>
      <c r="K40" s="111">
        <v>0</v>
      </c>
      <c r="L40">
        <v>1</v>
      </c>
    </row>
    <row r="41" spans="1:12" x14ac:dyDescent="0.2">
      <c r="A41" s="111" t="s">
        <v>130</v>
      </c>
      <c r="B41" s="132">
        <v>40</v>
      </c>
      <c r="C41" s="111">
        <v>187.96</v>
      </c>
      <c r="D41" s="111">
        <v>92.986360000000005</v>
      </c>
      <c r="E41" s="111">
        <v>75.852372000000003</v>
      </c>
      <c r="F41" s="111">
        <v>1</v>
      </c>
      <c r="G41" s="133">
        <v>0</v>
      </c>
      <c r="H41" s="111">
        <v>4</v>
      </c>
      <c r="I41" s="111">
        <v>0</v>
      </c>
      <c r="J41" s="111">
        <v>1</v>
      </c>
      <c r="K41" s="111">
        <v>0</v>
      </c>
      <c r="L41">
        <v>1</v>
      </c>
    </row>
    <row r="42" spans="1:12" x14ac:dyDescent="0.2">
      <c r="A42" s="111" t="s">
        <v>131</v>
      </c>
      <c r="B42" s="132" t="s">
        <v>1596</v>
      </c>
      <c r="C42" s="111">
        <v>177.8</v>
      </c>
      <c r="D42" s="111">
        <v>65.770840000000007</v>
      </c>
      <c r="E42" s="111">
        <v>70</v>
      </c>
      <c r="F42" s="111">
        <v>1</v>
      </c>
      <c r="G42" s="133">
        <v>0</v>
      </c>
      <c r="H42" s="111">
        <v>37</v>
      </c>
      <c r="I42" s="111">
        <v>2</v>
      </c>
      <c r="J42" s="111">
        <v>0</v>
      </c>
      <c r="K42" s="111">
        <v>0</v>
      </c>
      <c r="L42">
        <v>0</v>
      </c>
    </row>
    <row r="43" spans="1:12" x14ac:dyDescent="0.2">
      <c r="A43" s="111" t="s">
        <v>132</v>
      </c>
      <c r="B43" s="132">
        <v>28</v>
      </c>
      <c r="C43" s="111">
        <v>182.88</v>
      </c>
      <c r="D43" s="111">
        <v>65.770840000000007</v>
      </c>
      <c r="E43" s="111">
        <v>71</v>
      </c>
      <c r="F43" s="111">
        <v>4</v>
      </c>
      <c r="G43" s="133">
        <v>0.5</v>
      </c>
      <c r="H43" s="111">
        <v>49.5</v>
      </c>
      <c r="I43" s="111">
        <v>1</v>
      </c>
      <c r="J43" s="111">
        <v>0.25</v>
      </c>
      <c r="K43" s="111">
        <v>0.75</v>
      </c>
      <c r="L43">
        <v>1</v>
      </c>
    </row>
    <row r="44" spans="1:12" x14ac:dyDescent="0.2">
      <c r="A44" s="111" t="s">
        <v>133</v>
      </c>
      <c r="B44" s="132">
        <v>29</v>
      </c>
      <c r="C44" s="111">
        <v>195.58</v>
      </c>
      <c r="D44" s="111">
        <v>92.986360000000005</v>
      </c>
      <c r="E44" s="111">
        <v>79</v>
      </c>
      <c r="F44" s="111">
        <v>12</v>
      </c>
      <c r="G44" s="133">
        <v>0.66666666666666663</v>
      </c>
      <c r="H44" s="111">
        <v>41.166666666666664</v>
      </c>
      <c r="I44" s="111">
        <v>1.0833333333333333</v>
      </c>
      <c r="J44" s="111">
        <v>0.41666666666666669</v>
      </c>
      <c r="K44" s="111">
        <v>1.0833333333333333</v>
      </c>
      <c r="L44">
        <v>0</v>
      </c>
    </row>
    <row r="45" spans="1:12" x14ac:dyDescent="0.2">
      <c r="A45" s="111" t="s">
        <v>134</v>
      </c>
      <c r="B45" s="132">
        <v>32</v>
      </c>
      <c r="C45" s="111">
        <v>190.5</v>
      </c>
      <c r="D45" s="111">
        <v>77.110640000000004</v>
      </c>
      <c r="E45" s="111">
        <v>74</v>
      </c>
      <c r="F45" s="111">
        <v>4</v>
      </c>
      <c r="G45" s="133">
        <v>0.5</v>
      </c>
      <c r="H45" s="111">
        <v>28</v>
      </c>
      <c r="I45" s="111">
        <v>1.25</v>
      </c>
      <c r="J45" s="111">
        <v>0</v>
      </c>
      <c r="K45" s="111">
        <v>1.75</v>
      </c>
      <c r="L45">
        <v>1</v>
      </c>
    </row>
    <row r="46" spans="1:12" x14ac:dyDescent="0.2">
      <c r="A46" s="111" t="s">
        <v>135</v>
      </c>
      <c r="B46" s="132" t="s">
        <v>1596</v>
      </c>
      <c r="C46" s="111">
        <v>175.26</v>
      </c>
      <c r="D46" s="111">
        <v>77.110640000000004</v>
      </c>
      <c r="E46" s="111">
        <v>70.826982000000001</v>
      </c>
      <c r="F46" s="111">
        <v>1</v>
      </c>
      <c r="G46" s="133">
        <v>0</v>
      </c>
      <c r="H46" s="111">
        <v>8</v>
      </c>
      <c r="I46" s="111">
        <v>1</v>
      </c>
      <c r="J46" s="111">
        <v>0</v>
      </c>
      <c r="K46" s="111">
        <v>1</v>
      </c>
      <c r="L46">
        <v>1</v>
      </c>
    </row>
    <row r="47" spans="1:12" x14ac:dyDescent="0.2">
      <c r="A47" s="111" t="s">
        <v>136</v>
      </c>
      <c r="B47" s="132">
        <v>37</v>
      </c>
      <c r="C47" s="111">
        <v>187.96</v>
      </c>
      <c r="D47" s="111">
        <v>107.95489600000001</v>
      </c>
      <c r="E47" s="111">
        <v>75.852372000000003</v>
      </c>
      <c r="F47" s="111">
        <v>2</v>
      </c>
      <c r="G47" s="133">
        <v>0</v>
      </c>
      <c r="H47" s="111">
        <v>7.5</v>
      </c>
      <c r="I47" s="111">
        <v>1</v>
      </c>
      <c r="J47" s="111">
        <v>0.5</v>
      </c>
      <c r="K47" s="111">
        <v>2</v>
      </c>
      <c r="L47">
        <v>0</v>
      </c>
    </row>
    <row r="48" spans="1:12" x14ac:dyDescent="0.2">
      <c r="A48" s="111" t="s">
        <v>137</v>
      </c>
      <c r="B48" s="132">
        <v>37</v>
      </c>
      <c r="C48" s="111">
        <v>170.18</v>
      </c>
      <c r="D48" s="111">
        <v>92.986360000000005</v>
      </c>
      <c r="E48" s="111">
        <v>68.816826000000006</v>
      </c>
      <c r="F48" s="111">
        <v>1</v>
      </c>
      <c r="G48" s="133">
        <v>0</v>
      </c>
      <c r="H48" s="111">
        <v>6</v>
      </c>
      <c r="I48" s="111">
        <v>0</v>
      </c>
      <c r="J48" s="111">
        <v>0</v>
      </c>
      <c r="K48" s="111">
        <v>0</v>
      </c>
      <c r="L48">
        <v>0</v>
      </c>
    </row>
    <row r="49" spans="1:12" x14ac:dyDescent="0.2">
      <c r="A49" s="111" t="s">
        <v>1571</v>
      </c>
      <c r="B49" s="132">
        <v>39</v>
      </c>
      <c r="C49" s="111">
        <v>187.96</v>
      </c>
      <c r="D49" s="111">
        <v>108.86208000000001</v>
      </c>
      <c r="E49" s="111">
        <v>80</v>
      </c>
      <c r="F49" s="111">
        <v>2</v>
      </c>
      <c r="G49" s="133">
        <v>1</v>
      </c>
      <c r="H49" s="111">
        <v>11.5</v>
      </c>
      <c r="I49" s="111">
        <v>0.5</v>
      </c>
      <c r="J49" s="111">
        <v>0.5</v>
      </c>
      <c r="K49" s="111">
        <v>0.5</v>
      </c>
      <c r="L49">
        <v>0</v>
      </c>
    </row>
    <row r="50" spans="1:12" x14ac:dyDescent="0.2">
      <c r="A50" s="111" t="s">
        <v>138</v>
      </c>
      <c r="B50" s="132">
        <v>32</v>
      </c>
      <c r="C50" s="111">
        <v>167.64</v>
      </c>
      <c r="D50" s="111">
        <v>61.234920000000002</v>
      </c>
      <c r="E50" s="111">
        <v>68</v>
      </c>
      <c r="F50" s="111">
        <v>5</v>
      </c>
      <c r="G50" s="133">
        <v>0.8</v>
      </c>
      <c r="H50" s="111">
        <v>36.6</v>
      </c>
      <c r="I50" s="111">
        <v>0.8</v>
      </c>
      <c r="J50" s="111">
        <v>0.8</v>
      </c>
      <c r="K50" s="111">
        <v>1.2</v>
      </c>
      <c r="L50">
        <v>0</v>
      </c>
    </row>
    <row r="51" spans="1:12" x14ac:dyDescent="0.2">
      <c r="A51" s="111" t="s">
        <v>139</v>
      </c>
      <c r="B51" s="132">
        <v>26</v>
      </c>
      <c r="C51" s="111">
        <v>175.26</v>
      </c>
      <c r="D51" s="111">
        <v>61.234920000000002</v>
      </c>
      <c r="E51" s="111">
        <v>68</v>
      </c>
      <c r="F51" s="111">
        <v>2</v>
      </c>
      <c r="G51" s="133">
        <v>0</v>
      </c>
      <c r="H51" s="111">
        <v>20</v>
      </c>
      <c r="I51" s="111">
        <v>1.5</v>
      </c>
      <c r="J51" s="111">
        <v>0</v>
      </c>
      <c r="K51" s="111">
        <v>3.5</v>
      </c>
      <c r="L51">
        <v>0</v>
      </c>
    </row>
    <row r="52" spans="1:12" x14ac:dyDescent="0.2">
      <c r="A52" s="111" t="s">
        <v>140</v>
      </c>
      <c r="B52" s="132">
        <v>46</v>
      </c>
      <c r="C52" s="111">
        <v>160.02000000000001</v>
      </c>
      <c r="D52" s="111">
        <v>65.770840000000007</v>
      </c>
      <c r="E52" s="111">
        <v>64.796514000000002</v>
      </c>
      <c r="F52" s="111">
        <v>1</v>
      </c>
      <c r="G52" s="133">
        <v>0</v>
      </c>
      <c r="H52" s="111">
        <v>34</v>
      </c>
      <c r="I52" s="111">
        <v>1</v>
      </c>
      <c r="J52" s="111">
        <v>0</v>
      </c>
      <c r="K52" s="111">
        <v>0</v>
      </c>
      <c r="L52">
        <v>0</v>
      </c>
    </row>
    <row r="53" spans="1:12" x14ac:dyDescent="0.2">
      <c r="A53" s="111" t="s">
        <v>141</v>
      </c>
      <c r="B53" s="132">
        <v>31</v>
      </c>
      <c r="C53" s="111">
        <v>162.56</v>
      </c>
      <c r="D53" s="111">
        <v>56.698999999999998</v>
      </c>
      <c r="E53" s="111">
        <v>65</v>
      </c>
      <c r="F53" s="111">
        <v>5</v>
      </c>
      <c r="G53" s="133">
        <v>0.6</v>
      </c>
      <c r="H53" s="111">
        <v>39.4</v>
      </c>
      <c r="I53" s="111">
        <v>2.4</v>
      </c>
      <c r="J53" s="111">
        <v>0.4</v>
      </c>
      <c r="K53" s="111">
        <v>1</v>
      </c>
      <c r="L53">
        <v>0</v>
      </c>
    </row>
    <row r="54" spans="1:12" x14ac:dyDescent="0.2">
      <c r="A54" s="111" t="s">
        <v>142</v>
      </c>
      <c r="B54" s="132">
        <v>36</v>
      </c>
      <c r="C54" s="111">
        <v>193.04</v>
      </c>
      <c r="D54" s="111">
        <v>120.20188</v>
      </c>
      <c r="E54" s="111">
        <v>80</v>
      </c>
      <c r="F54" s="111">
        <v>8</v>
      </c>
      <c r="G54" s="133">
        <v>0.625</v>
      </c>
      <c r="H54" s="111">
        <v>38</v>
      </c>
      <c r="I54" s="111">
        <v>0.25</v>
      </c>
      <c r="J54" s="111">
        <v>0</v>
      </c>
      <c r="K54" s="111">
        <v>0.25</v>
      </c>
      <c r="L54">
        <v>0</v>
      </c>
    </row>
    <row r="55" spans="1:12" x14ac:dyDescent="0.2">
      <c r="A55" s="111" t="s">
        <v>143</v>
      </c>
      <c r="B55" s="132">
        <v>27</v>
      </c>
      <c r="C55" s="111">
        <v>170.18</v>
      </c>
      <c r="D55" s="111">
        <v>61.234920000000002</v>
      </c>
      <c r="E55" s="111">
        <v>71</v>
      </c>
      <c r="F55" s="111">
        <v>4</v>
      </c>
      <c r="G55" s="133">
        <v>1</v>
      </c>
      <c r="H55" s="111">
        <v>40.75</v>
      </c>
      <c r="I55" s="111">
        <v>3</v>
      </c>
      <c r="J55" s="111">
        <v>1.25</v>
      </c>
      <c r="K55" s="111">
        <v>2.5</v>
      </c>
      <c r="L55">
        <v>0</v>
      </c>
    </row>
    <row r="56" spans="1:12" x14ac:dyDescent="0.2">
      <c r="A56" s="111" t="s">
        <v>144</v>
      </c>
      <c r="B56" s="132">
        <v>45</v>
      </c>
      <c r="C56" s="111">
        <v>182.88</v>
      </c>
      <c r="D56" s="111">
        <v>92.986360000000005</v>
      </c>
      <c r="E56" s="111">
        <v>73.842215999999993</v>
      </c>
      <c r="F56" s="111">
        <v>1</v>
      </c>
      <c r="G56" s="133">
        <v>0</v>
      </c>
      <c r="H56" s="111">
        <v>36</v>
      </c>
      <c r="I56" s="111">
        <v>0</v>
      </c>
      <c r="J56" s="111">
        <v>0</v>
      </c>
      <c r="K56" s="111">
        <v>0</v>
      </c>
      <c r="L56">
        <v>0</v>
      </c>
    </row>
    <row r="57" spans="1:12" x14ac:dyDescent="0.2">
      <c r="A57" s="111" t="s">
        <v>145</v>
      </c>
      <c r="B57" s="132">
        <v>42</v>
      </c>
      <c r="C57" s="111">
        <v>172.72</v>
      </c>
      <c r="D57" s="111">
        <v>70.306759999999997</v>
      </c>
      <c r="E57" s="111">
        <v>69.821904000000004</v>
      </c>
      <c r="F57" s="111">
        <v>1</v>
      </c>
      <c r="G57" s="133">
        <v>0</v>
      </c>
      <c r="H57" s="111">
        <v>4</v>
      </c>
      <c r="I57" s="111">
        <v>2</v>
      </c>
      <c r="J57" s="111">
        <v>1</v>
      </c>
      <c r="K57" s="111">
        <v>1</v>
      </c>
      <c r="L57">
        <v>0</v>
      </c>
    </row>
    <row r="58" spans="1:12" x14ac:dyDescent="0.2">
      <c r="A58" s="111" t="s">
        <v>146</v>
      </c>
      <c r="B58" s="132">
        <v>30</v>
      </c>
      <c r="C58" s="111">
        <v>165.1</v>
      </c>
      <c r="D58" s="111">
        <v>56.698999999999998</v>
      </c>
      <c r="E58" s="111">
        <v>65</v>
      </c>
      <c r="F58" s="111">
        <v>4</v>
      </c>
      <c r="G58" s="133">
        <v>0.25</v>
      </c>
      <c r="H58" s="111">
        <v>47.5</v>
      </c>
      <c r="I58" s="111">
        <v>3.5</v>
      </c>
      <c r="J58" s="111">
        <v>0</v>
      </c>
      <c r="K58" s="111">
        <v>2</v>
      </c>
      <c r="L58">
        <v>0</v>
      </c>
    </row>
    <row r="59" spans="1:12" x14ac:dyDescent="0.2">
      <c r="A59" s="111" t="s">
        <v>147</v>
      </c>
      <c r="B59" s="132">
        <v>26</v>
      </c>
      <c r="C59" s="111">
        <v>182.88</v>
      </c>
      <c r="D59" s="111">
        <v>77.110640000000004</v>
      </c>
      <c r="E59" s="111">
        <v>74</v>
      </c>
      <c r="F59" s="111">
        <v>1</v>
      </c>
      <c r="G59" s="133">
        <v>1</v>
      </c>
      <c r="H59" s="111">
        <v>4</v>
      </c>
      <c r="I59" s="111">
        <v>0</v>
      </c>
      <c r="J59" s="111">
        <v>0</v>
      </c>
      <c r="K59" s="111">
        <v>0</v>
      </c>
      <c r="L59">
        <v>0</v>
      </c>
    </row>
    <row r="60" spans="1:12" x14ac:dyDescent="0.2">
      <c r="A60" s="111" t="s">
        <v>148</v>
      </c>
      <c r="B60" s="132">
        <v>34</v>
      </c>
      <c r="C60" s="111">
        <v>175.26</v>
      </c>
      <c r="D60" s="111">
        <v>70.306759999999997</v>
      </c>
      <c r="E60" s="111">
        <v>68</v>
      </c>
      <c r="F60" s="111">
        <v>4</v>
      </c>
      <c r="G60" s="133">
        <v>0.25</v>
      </c>
      <c r="H60" s="111">
        <v>14.25</v>
      </c>
      <c r="I60" s="111">
        <v>0.75</v>
      </c>
      <c r="J60" s="111">
        <v>0.75</v>
      </c>
      <c r="K60" s="111">
        <v>0</v>
      </c>
      <c r="L60">
        <v>1</v>
      </c>
    </row>
    <row r="61" spans="1:12" x14ac:dyDescent="0.2">
      <c r="A61" s="111" t="s">
        <v>149</v>
      </c>
      <c r="B61" s="132">
        <v>28</v>
      </c>
      <c r="C61" s="111">
        <v>172.72</v>
      </c>
      <c r="D61" s="111">
        <v>61.234920000000002</v>
      </c>
      <c r="E61" s="111">
        <v>69</v>
      </c>
      <c r="F61" s="111">
        <v>5</v>
      </c>
      <c r="G61" s="133">
        <v>0.8</v>
      </c>
      <c r="H61" s="111">
        <v>17.600000000000001</v>
      </c>
      <c r="I61" s="111">
        <v>0.8</v>
      </c>
      <c r="J61" s="111">
        <v>0.2</v>
      </c>
      <c r="K61" s="111">
        <v>1</v>
      </c>
      <c r="L61">
        <v>0</v>
      </c>
    </row>
    <row r="62" spans="1:12" x14ac:dyDescent="0.2">
      <c r="A62" s="111" t="s">
        <v>150</v>
      </c>
      <c r="B62" s="132">
        <v>40</v>
      </c>
      <c r="C62" s="111">
        <v>175.26</v>
      </c>
      <c r="D62" s="111">
        <v>83.007335999999995</v>
      </c>
      <c r="E62" s="111">
        <v>70.826982000000001</v>
      </c>
      <c r="F62" s="111">
        <v>2</v>
      </c>
      <c r="G62" s="133">
        <v>0</v>
      </c>
      <c r="H62" s="111">
        <v>17.5</v>
      </c>
      <c r="I62" s="111">
        <v>0.5</v>
      </c>
      <c r="J62" s="111">
        <v>0.5</v>
      </c>
      <c r="K62" s="111">
        <v>0.5</v>
      </c>
      <c r="L62">
        <v>0</v>
      </c>
    </row>
    <row r="63" spans="1:12" x14ac:dyDescent="0.2">
      <c r="A63" s="111" t="s">
        <v>151</v>
      </c>
      <c r="B63" s="132" t="s">
        <v>1596</v>
      </c>
      <c r="C63" s="111">
        <v>175.26</v>
      </c>
      <c r="D63" s="111">
        <v>83.914519999999996</v>
      </c>
      <c r="E63" s="111">
        <v>70.826982000000001</v>
      </c>
      <c r="F63" s="111">
        <v>2</v>
      </c>
      <c r="G63" s="133">
        <v>0.5</v>
      </c>
      <c r="H63" s="111">
        <v>4</v>
      </c>
      <c r="I63" s="111">
        <v>0</v>
      </c>
      <c r="J63" s="111">
        <v>0</v>
      </c>
      <c r="K63" s="111">
        <v>0</v>
      </c>
      <c r="L63">
        <v>0</v>
      </c>
    </row>
    <row r="64" spans="1:12" x14ac:dyDescent="0.2">
      <c r="A64" s="111" t="s">
        <v>152</v>
      </c>
      <c r="B64" s="132">
        <v>37</v>
      </c>
      <c r="C64" s="111">
        <v>182.88</v>
      </c>
      <c r="D64" s="111">
        <v>77.110640000000004</v>
      </c>
      <c r="E64" s="111">
        <v>73.842215999999993</v>
      </c>
      <c r="F64" s="111">
        <v>2</v>
      </c>
      <c r="G64" s="133">
        <v>0</v>
      </c>
      <c r="H64" s="111">
        <v>7</v>
      </c>
      <c r="I64" s="111">
        <v>0</v>
      </c>
      <c r="J64" s="111">
        <v>0</v>
      </c>
      <c r="K64" s="111">
        <v>0</v>
      </c>
      <c r="L64">
        <v>1</v>
      </c>
    </row>
    <row r="65" spans="1:12" x14ac:dyDescent="0.2">
      <c r="A65" s="111" t="s">
        <v>153</v>
      </c>
      <c r="B65" s="132">
        <v>36</v>
      </c>
      <c r="C65" s="111">
        <v>177.8</v>
      </c>
      <c r="D65" s="111">
        <v>77.110640000000004</v>
      </c>
      <c r="E65" s="111">
        <v>74</v>
      </c>
      <c r="F65" s="111">
        <v>11</v>
      </c>
      <c r="G65" s="133">
        <v>0.54545454545454541</v>
      </c>
      <c r="H65" s="111">
        <v>56.454545454545453</v>
      </c>
      <c r="I65" s="111">
        <v>0.45454545454545453</v>
      </c>
      <c r="J65" s="111">
        <v>0.27272727272727271</v>
      </c>
      <c r="K65" s="111">
        <v>0.63636363636363635</v>
      </c>
      <c r="L65">
        <v>0</v>
      </c>
    </row>
    <row r="66" spans="1:12" x14ac:dyDescent="0.2">
      <c r="A66" s="111" t="s">
        <v>154</v>
      </c>
      <c r="B66" s="132">
        <v>41</v>
      </c>
      <c r="C66" s="111">
        <v>187.96</v>
      </c>
      <c r="D66" s="111">
        <v>83.914519999999996</v>
      </c>
      <c r="E66" s="111">
        <v>77</v>
      </c>
      <c r="F66" s="111">
        <v>19</v>
      </c>
      <c r="G66" s="133">
        <v>0.84210526315789469</v>
      </c>
      <c r="H66" s="111">
        <v>31.842105263157894</v>
      </c>
      <c r="I66" s="111">
        <v>0.15789473684210525</v>
      </c>
      <c r="J66" s="111">
        <v>0.31578947368421051</v>
      </c>
      <c r="K66" s="111">
        <v>0.15789473684210525</v>
      </c>
      <c r="L66">
        <v>1</v>
      </c>
    </row>
    <row r="67" spans="1:12" x14ac:dyDescent="0.2">
      <c r="A67" s="111" t="s">
        <v>155</v>
      </c>
      <c r="B67" s="132">
        <v>26</v>
      </c>
      <c r="C67" s="111">
        <v>180.34</v>
      </c>
      <c r="D67" s="111">
        <v>65.770840000000007</v>
      </c>
      <c r="E67" s="111">
        <v>74</v>
      </c>
      <c r="F67" s="111">
        <v>5</v>
      </c>
      <c r="G67" s="133">
        <v>0.6</v>
      </c>
      <c r="H67" s="111">
        <v>31.6</v>
      </c>
      <c r="I67" s="111">
        <v>2</v>
      </c>
      <c r="J67" s="111">
        <v>0.2</v>
      </c>
      <c r="K67" s="111">
        <v>0.8</v>
      </c>
      <c r="L67">
        <v>0</v>
      </c>
    </row>
    <row r="68" spans="1:12" x14ac:dyDescent="0.2">
      <c r="A68" s="111" t="s">
        <v>156</v>
      </c>
      <c r="B68" s="132">
        <v>39</v>
      </c>
      <c r="C68" s="111">
        <v>182.88</v>
      </c>
      <c r="D68" s="111">
        <v>92.986360000000005</v>
      </c>
      <c r="E68" s="111">
        <v>73.842215999999993</v>
      </c>
      <c r="F68" s="111">
        <v>2</v>
      </c>
      <c r="G68" s="133">
        <v>0</v>
      </c>
      <c r="H68" s="111">
        <v>25.5</v>
      </c>
      <c r="I68" s="111">
        <v>0</v>
      </c>
      <c r="J68" s="111">
        <v>0</v>
      </c>
      <c r="K68" s="111">
        <v>0</v>
      </c>
      <c r="L68">
        <v>0</v>
      </c>
    </row>
    <row r="69" spans="1:12" x14ac:dyDescent="0.2">
      <c r="A69" s="111" t="s">
        <v>157</v>
      </c>
      <c r="B69" s="132">
        <v>49</v>
      </c>
      <c r="C69" s="111">
        <v>172.72</v>
      </c>
      <c r="D69" s="111">
        <v>70.306759999999997</v>
      </c>
      <c r="E69" s="111">
        <v>69.821904000000004</v>
      </c>
      <c r="F69" s="111">
        <v>1</v>
      </c>
      <c r="G69" s="133">
        <v>0</v>
      </c>
      <c r="H69" s="111">
        <v>10</v>
      </c>
      <c r="I69" s="111">
        <v>0</v>
      </c>
      <c r="J69" s="111">
        <v>0</v>
      </c>
      <c r="K69" s="111">
        <v>0</v>
      </c>
      <c r="L69">
        <v>0</v>
      </c>
    </row>
    <row r="70" spans="1:12" x14ac:dyDescent="0.2">
      <c r="A70" s="111" t="s">
        <v>158</v>
      </c>
      <c r="B70" s="132">
        <v>51</v>
      </c>
      <c r="C70" s="111">
        <v>187.96</v>
      </c>
      <c r="D70" s="111">
        <v>156.48924</v>
      </c>
      <c r="E70" s="111">
        <v>75.852372000000003</v>
      </c>
      <c r="F70" s="111">
        <v>2</v>
      </c>
      <c r="G70" s="133">
        <v>0.5</v>
      </c>
      <c r="H70" s="111">
        <v>6</v>
      </c>
      <c r="I70" s="111">
        <v>0</v>
      </c>
      <c r="J70" s="111">
        <v>0</v>
      </c>
      <c r="K70" s="111">
        <v>0</v>
      </c>
      <c r="L70">
        <v>0</v>
      </c>
    </row>
    <row r="71" spans="1:12" x14ac:dyDescent="0.2">
      <c r="A71" s="111" t="s">
        <v>159</v>
      </c>
      <c r="B71" s="132">
        <v>35</v>
      </c>
      <c r="C71" s="111">
        <v>180.34</v>
      </c>
      <c r="D71" s="111">
        <v>70.306759999999997</v>
      </c>
      <c r="E71" s="111">
        <v>73</v>
      </c>
      <c r="F71" s="111">
        <v>6</v>
      </c>
      <c r="G71" s="133">
        <v>0.33333333333333331</v>
      </c>
      <c r="H71" s="111">
        <v>28.166666666666668</v>
      </c>
      <c r="I71" s="111">
        <v>0</v>
      </c>
      <c r="J71" s="111">
        <v>0</v>
      </c>
      <c r="K71" s="111">
        <v>0</v>
      </c>
      <c r="L71">
        <v>0</v>
      </c>
    </row>
    <row r="72" spans="1:12" x14ac:dyDescent="0.2">
      <c r="A72" s="111" t="s">
        <v>160</v>
      </c>
      <c r="B72" s="132">
        <v>28</v>
      </c>
      <c r="C72" s="111">
        <v>180.34</v>
      </c>
      <c r="D72" s="111">
        <v>77.110640000000004</v>
      </c>
      <c r="E72" s="111">
        <v>73</v>
      </c>
      <c r="F72" s="111">
        <v>2</v>
      </c>
      <c r="G72" s="133">
        <v>0</v>
      </c>
      <c r="H72" s="111">
        <v>27.5</v>
      </c>
      <c r="I72" s="111">
        <v>1</v>
      </c>
      <c r="J72" s="111">
        <v>0</v>
      </c>
      <c r="K72" s="111">
        <v>0</v>
      </c>
      <c r="L72">
        <v>0</v>
      </c>
    </row>
    <row r="73" spans="1:12" x14ac:dyDescent="0.2">
      <c r="A73" s="111" t="s">
        <v>161</v>
      </c>
      <c r="B73" s="132">
        <v>37</v>
      </c>
      <c r="C73" s="111">
        <v>190.5</v>
      </c>
      <c r="D73" s="111">
        <v>108.86208000000001</v>
      </c>
      <c r="E73" s="111">
        <v>77</v>
      </c>
      <c r="F73" s="111">
        <v>19</v>
      </c>
      <c r="G73" s="133">
        <v>0.73684210526315785</v>
      </c>
      <c r="H73" s="111">
        <v>21.736842105263158</v>
      </c>
      <c r="I73" s="111">
        <v>0.10526315789473684</v>
      </c>
      <c r="J73" s="111">
        <v>0.26315789473684209</v>
      </c>
      <c r="K73" s="111">
        <v>0.15789473684210525</v>
      </c>
      <c r="L73">
        <v>0</v>
      </c>
    </row>
    <row r="74" spans="1:12" x14ac:dyDescent="0.2">
      <c r="A74" s="111" t="s">
        <v>162</v>
      </c>
      <c r="B74" s="132">
        <v>39</v>
      </c>
      <c r="C74" s="111">
        <v>182.88</v>
      </c>
      <c r="D74" s="111">
        <v>83.914519999999996</v>
      </c>
      <c r="E74" s="111">
        <v>73.842215999999993</v>
      </c>
      <c r="F74" s="111">
        <v>2</v>
      </c>
      <c r="G74" s="133">
        <v>0.5</v>
      </c>
      <c r="H74" s="111">
        <v>5</v>
      </c>
      <c r="I74" s="111">
        <v>0.5</v>
      </c>
      <c r="J74" s="111">
        <v>0.5</v>
      </c>
      <c r="K74" s="111">
        <v>0</v>
      </c>
      <c r="L74">
        <v>0</v>
      </c>
    </row>
    <row r="75" spans="1:12" x14ac:dyDescent="0.2">
      <c r="A75" s="111" t="s">
        <v>163</v>
      </c>
      <c r="B75" s="132">
        <v>30</v>
      </c>
      <c r="C75" s="111">
        <v>185.42</v>
      </c>
      <c r="D75" s="111">
        <v>77.110640000000004</v>
      </c>
      <c r="E75" s="111">
        <v>76</v>
      </c>
      <c r="F75" s="111">
        <v>7</v>
      </c>
      <c r="G75" s="133">
        <v>0.42857142857142855</v>
      </c>
      <c r="H75" s="111">
        <v>29.285714285714285</v>
      </c>
      <c r="I75" s="111">
        <v>0.42857142857142855</v>
      </c>
      <c r="J75" s="111">
        <v>0</v>
      </c>
      <c r="K75" s="111">
        <v>1</v>
      </c>
      <c r="L75">
        <v>0</v>
      </c>
    </row>
    <row r="76" spans="1:12" x14ac:dyDescent="0.2">
      <c r="A76" s="111" t="s">
        <v>164</v>
      </c>
      <c r="B76" s="132" t="s">
        <v>1596</v>
      </c>
      <c r="C76" s="111">
        <v>180.34</v>
      </c>
      <c r="D76" s="111">
        <v>70.306759999999997</v>
      </c>
      <c r="E76" s="111">
        <v>70</v>
      </c>
      <c r="F76" s="111">
        <v>1</v>
      </c>
      <c r="G76" s="133">
        <v>1</v>
      </c>
      <c r="H76" s="111">
        <v>20</v>
      </c>
      <c r="I76" s="111">
        <v>0</v>
      </c>
      <c r="J76" s="111">
        <v>2</v>
      </c>
      <c r="K76" s="111">
        <v>0</v>
      </c>
      <c r="L76">
        <v>1</v>
      </c>
    </row>
    <row r="77" spans="1:12" x14ac:dyDescent="0.2">
      <c r="A77" s="111" t="s">
        <v>165</v>
      </c>
      <c r="B77" s="132">
        <v>52</v>
      </c>
      <c r="C77" s="111">
        <v>167.64</v>
      </c>
      <c r="D77" s="111">
        <v>108.86208000000001</v>
      </c>
      <c r="E77" s="111">
        <v>67.811747999999994</v>
      </c>
      <c r="F77" s="111">
        <v>1</v>
      </c>
      <c r="G77" s="133">
        <v>0</v>
      </c>
      <c r="H77" s="111">
        <v>2</v>
      </c>
      <c r="I77" s="111">
        <v>0</v>
      </c>
      <c r="J77" s="111">
        <v>0</v>
      </c>
      <c r="K77" s="111">
        <v>0</v>
      </c>
      <c r="L77">
        <v>0</v>
      </c>
    </row>
    <row r="78" spans="1:12" x14ac:dyDescent="0.2">
      <c r="A78" s="111" t="s">
        <v>166</v>
      </c>
      <c r="B78" s="132">
        <v>25</v>
      </c>
      <c r="C78" s="111">
        <v>190.5</v>
      </c>
      <c r="D78" s="111">
        <v>83.914519999999996</v>
      </c>
      <c r="E78" s="111">
        <v>78</v>
      </c>
      <c r="F78" s="111">
        <v>3</v>
      </c>
      <c r="G78" s="133">
        <v>0</v>
      </c>
      <c r="H78" s="111">
        <v>37.333333333333336</v>
      </c>
      <c r="I78" s="111">
        <v>0</v>
      </c>
      <c r="J78" s="111">
        <v>0</v>
      </c>
      <c r="K78" s="111">
        <v>0</v>
      </c>
      <c r="L78">
        <v>0</v>
      </c>
    </row>
    <row r="79" spans="1:12" x14ac:dyDescent="0.2">
      <c r="A79" s="111" t="s">
        <v>167</v>
      </c>
      <c r="B79" s="132">
        <v>27</v>
      </c>
      <c r="C79" s="111">
        <v>172.72</v>
      </c>
      <c r="D79" s="111">
        <v>65.770840000000007</v>
      </c>
      <c r="E79" s="111">
        <v>69</v>
      </c>
      <c r="F79" s="111">
        <v>6</v>
      </c>
      <c r="G79" s="133">
        <v>0.16666666666666666</v>
      </c>
      <c r="H79" s="111">
        <v>27.166666666666668</v>
      </c>
      <c r="I79" s="111">
        <v>1.1666666666666667</v>
      </c>
      <c r="J79" s="111">
        <v>0</v>
      </c>
      <c r="K79" s="111">
        <v>0.66666666666666663</v>
      </c>
      <c r="L79">
        <v>0</v>
      </c>
    </row>
    <row r="80" spans="1:12" x14ac:dyDescent="0.2">
      <c r="A80" s="111" t="s">
        <v>168</v>
      </c>
      <c r="B80" s="132">
        <v>39</v>
      </c>
      <c r="C80" s="111">
        <v>167.64</v>
      </c>
      <c r="D80" s="111">
        <v>70.306759999999997</v>
      </c>
      <c r="E80" s="111">
        <v>67.811747999999994</v>
      </c>
      <c r="F80" s="111">
        <v>1</v>
      </c>
      <c r="G80" s="133">
        <v>0</v>
      </c>
      <c r="H80" s="111">
        <v>4</v>
      </c>
      <c r="I80" s="111">
        <v>0</v>
      </c>
      <c r="J80" s="111">
        <v>0</v>
      </c>
      <c r="K80" s="111">
        <v>0</v>
      </c>
      <c r="L80">
        <v>0</v>
      </c>
    </row>
    <row r="81" spans="1:12" x14ac:dyDescent="0.2">
      <c r="A81" s="111" t="s">
        <v>169</v>
      </c>
      <c r="B81" s="132">
        <v>28</v>
      </c>
      <c r="C81" s="111">
        <v>160.02000000000001</v>
      </c>
      <c r="D81" s="111">
        <v>52.163080000000001</v>
      </c>
      <c r="E81" s="111">
        <v>64</v>
      </c>
      <c r="F81" s="111">
        <v>3</v>
      </c>
      <c r="G81" s="133">
        <v>0.33333333333333331</v>
      </c>
      <c r="H81" s="111">
        <v>48.666666666666664</v>
      </c>
      <c r="I81" s="111">
        <v>0</v>
      </c>
      <c r="J81" s="111">
        <v>0</v>
      </c>
      <c r="K81" s="111">
        <v>0</v>
      </c>
      <c r="L81">
        <v>0</v>
      </c>
    </row>
    <row r="82" spans="1:12" x14ac:dyDescent="0.2">
      <c r="A82" s="111" t="s">
        <v>170</v>
      </c>
      <c r="B82" s="132">
        <v>33</v>
      </c>
      <c r="C82" s="111">
        <v>154.94</v>
      </c>
      <c r="D82" s="111">
        <v>52.163080000000001</v>
      </c>
      <c r="E82" s="111">
        <v>65</v>
      </c>
      <c r="F82" s="111">
        <v>2</v>
      </c>
      <c r="G82" s="133">
        <v>0</v>
      </c>
      <c r="H82" s="111">
        <v>22.5</v>
      </c>
      <c r="I82" s="111">
        <v>0.5</v>
      </c>
      <c r="J82" s="111">
        <v>0.5</v>
      </c>
      <c r="K82" s="111">
        <v>0</v>
      </c>
      <c r="L82">
        <v>0</v>
      </c>
    </row>
    <row r="83" spans="1:12" x14ac:dyDescent="0.2">
      <c r="A83" s="111" t="s">
        <v>1583</v>
      </c>
      <c r="B83" s="132">
        <v>28</v>
      </c>
      <c r="C83" s="111">
        <v>167.64</v>
      </c>
      <c r="D83" s="111">
        <v>65.770840000000007</v>
      </c>
      <c r="E83" s="111">
        <v>67.811747999999994</v>
      </c>
      <c r="F83" s="111">
        <v>1</v>
      </c>
      <c r="G83" s="133">
        <v>0</v>
      </c>
      <c r="H83" s="111">
        <v>8</v>
      </c>
      <c r="I83" s="111">
        <v>0</v>
      </c>
      <c r="J83" s="111">
        <v>0</v>
      </c>
      <c r="K83" s="111">
        <v>0</v>
      </c>
      <c r="L83">
        <v>0</v>
      </c>
    </row>
    <row r="84" spans="1:12" x14ac:dyDescent="0.2">
      <c r="A84" s="111" t="s">
        <v>171</v>
      </c>
      <c r="B84" s="132" t="s">
        <v>1596</v>
      </c>
      <c r="C84" s="111">
        <v>175.26</v>
      </c>
      <c r="D84" s="111">
        <v>77.110640000000004</v>
      </c>
      <c r="E84" s="111">
        <v>70.826982000000001</v>
      </c>
      <c r="F84" s="111">
        <v>2</v>
      </c>
      <c r="G84" s="133">
        <v>0</v>
      </c>
      <c r="H84" s="111">
        <v>2</v>
      </c>
      <c r="I84" s="111">
        <v>0</v>
      </c>
      <c r="J84" s="111">
        <v>1.5</v>
      </c>
      <c r="K84" s="111">
        <v>0.5</v>
      </c>
      <c r="L84">
        <v>0</v>
      </c>
    </row>
    <row r="85" spans="1:12" x14ac:dyDescent="0.2">
      <c r="A85" s="111" t="s">
        <v>172</v>
      </c>
      <c r="B85" s="132">
        <v>30</v>
      </c>
      <c r="C85" s="111">
        <v>172.72</v>
      </c>
      <c r="D85" s="111">
        <v>61.234920000000002</v>
      </c>
      <c r="E85" s="111">
        <v>69</v>
      </c>
      <c r="F85" s="111">
        <v>3</v>
      </c>
      <c r="G85" s="133">
        <v>0.33333333333333331</v>
      </c>
      <c r="H85" s="111">
        <v>15.666666666666666</v>
      </c>
      <c r="I85" s="111">
        <v>0.33333333333333331</v>
      </c>
      <c r="J85" s="111">
        <v>0</v>
      </c>
      <c r="K85" s="111">
        <v>0</v>
      </c>
      <c r="L85">
        <v>0</v>
      </c>
    </row>
    <row r="86" spans="1:12" x14ac:dyDescent="0.2">
      <c r="A86" s="111" t="s">
        <v>173</v>
      </c>
      <c r="B86" s="132">
        <v>29</v>
      </c>
      <c r="C86" s="111">
        <v>175.26</v>
      </c>
      <c r="D86" s="111">
        <v>70.306759999999997</v>
      </c>
      <c r="E86" s="111">
        <v>72</v>
      </c>
      <c r="F86" s="111">
        <v>2</v>
      </c>
      <c r="G86" s="133">
        <v>0</v>
      </c>
      <c r="H86" s="111">
        <v>20</v>
      </c>
      <c r="I86" s="111">
        <v>0</v>
      </c>
      <c r="J86" s="111">
        <v>0</v>
      </c>
      <c r="K86" s="111">
        <v>0</v>
      </c>
      <c r="L86">
        <v>0</v>
      </c>
    </row>
    <row r="87" spans="1:12" x14ac:dyDescent="0.2">
      <c r="A87" s="111" t="s">
        <v>174</v>
      </c>
      <c r="B87" s="132">
        <v>36</v>
      </c>
      <c r="C87" s="111">
        <v>195.58</v>
      </c>
      <c r="D87" s="111">
        <v>117.93392</v>
      </c>
      <c r="E87" s="111">
        <v>76</v>
      </c>
      <c r="F87" s="111">
        <v>5</v>
      </c>
      <c r="G87" s="133">
        <v>0.4</v>
      </c>
      <c r="H87" s="111">
        <v>38.200000000000003</v>
      </c>
      <c r="I87" s="111">
        <v>1.6</v>
      </c>
      <c r="J87" s="111">
        <v>0</v>
      </c>
      <c r="K87" s="111">
        <v>1</v>
      </c>
      <c r="L87">
        <v>0</v>
      </c>
    </row>
    <row r="88" spans="1:12" x14ac:dyDescent="0.2">
      <c r="A88" s="111" t="s">
        <v>175</v>
      </c>
      <c r="B88" s="132">
        <v>32</v>
      </c>
      <c r="C88" s="111">
        <v>187.96</v>
      </c>
      <c r="D88" s="111">
        <v>92.986360000000005</v>
      </c>
      <c r="E88" s="111">
        <v>78</v>
      </c>
      <c r="F88" s="111">
        <v>17</v>
      </c>
      <c r="G88" s="133">
        <v>0.70588235294117652</v>
      </c>
      <c r="H88" s="111">
        <v>20.882352941176471</v>
      </c>
      <c r="I88" s="111">
        <v>1.0588235294117647</v>
      </c>
      <c r="J88" s="111">
        <v>0.29411764705882354</v>
      </c>
      <c r="K88" s="111">
        <v>0.58823529411764708</v>
      </c>
      <c r="L88">
        <v>0</v>
      </c>
    </row>
    <row r="89" spans="1:12" x14ac:dyDescent="0.2">
      <c r="A89" s="111" t="s">
        <v>176</v>
      </c>
      <c r="B89" s="132">
        <v>36</v>
      </c>
      <c r="C89" s="111">
        <v>175.26</v>
      </c>
      <c r="D89" s="111">
        <v>77.110640000000004</v>
      </c>
      <c r="E89" s="111">
        <v>71</v>
      </c>
      <c r="F89" s="111">
        <v>2</v>
      </c>
      <c r="G89" s="133">
        <v>0</v>
      </c>
      <c r="H89" s="111">
        <v>5</v>
      </c>
      <c r="I89" s="111">
        <v>0</v>
      </c>
      <c r="J89" s="111">
        <v>0</v>
      </c>
      <c r="K89" s="111">
        <v>0.5</v>
      </c>
      <c r="L89">
        <v>1</v>
      </c>
    </row>
    <row r="90" spans="1:12" x14ac:dyDescent="0.2">
      <c r="A90" s="111" t="s">
        <v>177</v>
      </c>
      <c r="B90" s="132">
        <v>47</v>
      </c>
      <c r="C90" s="111">
        <v>175.26</v>
      </c>
      <c r="D90" s="111">
        <v>83.914519999999996</v>
      </c>
      <c r="E90" s="111">
        <v>70.826982000000001</v>
      </c>
      <c r="F90" s="111">
        <v>2</v>
      </c>
      <c r="G90" s="133">
        <v>0</v>
      </c>
      <c r="H90" s="111">
        <v>4</v>
      </c>
      <c r="I90" s="111">
        <v>0</v>
      </c>
      <c r="J90" s="111">
        <v>0</v>
      </c>
      <c r="K90" s="111">
        <v>0</v>
      </c>
      <c r="L90">
        <v>0</v>
      </c>
    </row>
    <row r="91" spans="1:12" x14ac:dyDescent="0.2">
      <c r="A91" s="111" t="s">
        <v>178</v>
      </c>
      <c r="B91" s="132">
        <v>36</v>
      </c>
      <c r="C91" s="111">
        <v>185.42</v>
      </c>
      <c r="D91" s="111">
        <v>70.306759999999997</v>
      </c>
      <c r="E91" s="111">
        <v>75</v>
      </c>
      <c r="F91" s="111">
        <v>8</v>
      </c>
      <c r="G91" s="133">
        <v>0.375</v>
      </c>
      <c r="H91" s="111">
        <v>53.375</v>
      </c>
      <c r="I91" s="111">
        <v>0.375</v>
      </c>
      <c r="J91" s="111">
        <v>0.125</v>
      </c>
      <c r="K91" s="111">
        <v>0</v>
      </c>
      <c r="L91">
        <v>0</v>
      </c>
    </row>
    <row r="92" spans="1:12" x14ac:dyDescent="0.2">
      <c r="A92" s="111" t="s">
        <v>179</v>
      </c>
      <c r="B92" s="132">
        <v>44</v>
      </c>
      <c r="C92" s="111">
        <v>190.5</v>
      </c>
      <c r="D92" s="111">
        <v>92.986360000000005</v>
      </c>
      <c r="E92" s="111">
        <v>75</v>
      </c>
      <c r="F92" s="111">
        <v>12</v>
      </c>
      <c r="G92" s="133">
        <v>0.41666666666666669</v>
      </c>
      <c r="H92" s="111">
        <v>12.583333333333334</v>
      </c>
      <c r="I92" s="111">
        <v>0.75</v>
      </c>
      <c r="J92" s="111">
        <v>0.41666666666666669</v>
      </c>
      <c r="K92" s="111">
        <v>1.25</v>
      </c>
      <c r="L92">
        <v>0</v>
      </c>
    </row>
    <row r="93" spans="1:12" x14ac:dyDescent="0.2">
      <c r="A93" s="111" t="s">
        <v>180</v>
      </c>
      <c r="B93" s="132">
        <v>29</v>
      </c>
      <c r="C93" s="111">
        <v>177.8</v>
      </c>
      <c r="D93" s="111">
        <v>70.306759999999997</v>
      </c>
      <c r="E93" s="111">
        <v>72</v>
      </c>
      <c r="F93" s="111">
        <v>8</v>
      </c>
      <c r="G93" s="133">
        <v>0.625</v>
      </c>
      <c r="H93" s="111">
        <v>26.375</v>
      </c>
      <c r="I93" s="111">
        <v>0.75</v>
      </c>
      <c r="J93" s="111">
        <v>0.375</v>
      </c>
      <c r="K93" s="111">
        <v>0.625</v>
      </c>
      <c r="L93">
        <v>0</v>
      </c>
    </row>
    <row r="94" spans="1:12" x14ac:dyDescent="0.2">
      <c r="A94" s="111" t="s">
        <v>181</v>
      </c>
      <c r="B94" s="132">
        <v>28</v>
      </c>
      <c r="C94" s="111">
        <v>193.04</v>
      </c>
      <c r="D94" s="111">
        <v>83.914519999999996</v>
      </c>
      <c r="E94" s="111">
        <v>77</v>
      </c>
      <c r="F94" s="111">
        <v>2</v>
      </c>
      <c r="G94" s="133">
        <v>0.5</v>
      </c>
      <c r="H94" s="111">
        <v>31</v>
      </c>
      <c r="I94" s="111">
        <v>1</v>
      </c>
      <c r="J94" s="111">
        <v>0</v>
      </c>
      <c r="K94" s="111">
        <v>1</v>
      </c>
      <c r="L94">
        <v>0</v>
      </c>
    </row>
    <row r="95" spans="1:12" x14ac:dyDescent="0.2">
      <c r="A95" s="111" t="s">
        <v>182</v>
      </c>
      <c r="B95" s="132" t="s">
        <v>1596</v>
      </c>
      <c r="C95" s="111">
        <v>172.72</v>
      </c>
      <c r="D95" s="111">
        <v>77.110640000000004</v>
      </c>
      <c r="E95" s="111">
        <v>69.821904000000004</v>
      </c>
      <c r="F95" s="111">
        <v>2</v>
      </c>
      <c r="G95" s="133">
        <v>0.5</v>
      </c>
      <c r="H95" s="111">
        <v>12</v>
      </c>
      <c r="I95" s="111">
        <v>0</v>
      </c>
      <c r="J95" s="111">
        <v>0.5</v>
      </c>
      <c r="K95" s="111">
        <v>0.5</v>
      </c>
      <c r="L95">
        <v>0</v>
      </c>
    </row>
    <row r="96" spans="1:12" x14ac:dyDescent="0.2">
      <c r="A96" s="111" t="s">
        <v>183</v>
      </c>
      <c r="B96" s="132">
        <v>32</v>
      </c>
      <c r="C96" s="111">
        <v>172.72</v>
      </c>
      <c r="D96" s="111">
        <v>70.306759999999997</v>
      </c>
      <c r="E96" s="111">
        <v>72</v>
      </c>
      <c r="F96" s="111">
        <v>3</v>
      </c>
      <c r="G96" s="133">
        <v>0.33333333333333331</v>
      </c>
      <c r="H96" s="111">
        <v>28.333333333333332</v>
      </c>
      <c r="I96" s="111">
        <v>1</v>
      </c>
      <c r="J96" s="111">
        <v>0.33333333333333331</v>
      </c>
      <c r="K96" s="111">
        <v>1.3333333333333333</v>
      </c>
      <c r="L96">
        <v>0</v>
      </c>
    </row>
    <row r="97" spans="1:12" x14ac:dyDescent="0.2">
      <c r="A97" s="111" t="s">
        <v>184</v>
      </c>
      <c r="B97" s="132" t="s">
        <v>1596</v>
      </c>
      <c r="C97" s="111">
        <v>180.34</v>
      </c>
      <c r="D97" s="111">
        <v>77.110640000000004</v>
      </c>
      <c r="E97" s="111">
        <v>72</v>
      </c>
      <c r="F97" s="111">
        <v>1</v>
      </c>
      <c r="G97" s="133">
        <v>0</v>
      </c>
      <c r="H97" s="111">
        <v>17</v>
      </c>
      <c r="I97" s="111">
        <v>1</v>
      </c>
      <c r="J97" s="111">
        <v>0</v>
      </c>
      <c r="K97" s="111">
        <v>1</v>
      </c>
      <c r="L97">
        <v>0</v>
      </c>
    </row>
    <row r="98" spans="1:12" x14ac:dyDescent="0.2">
      <c r="A98" s="111" t="s">
        <v>185</v>
      </c>
      <c r="B98" s="132">
        <v>40</v>
      </c>
      <c r="C98" s="111">
        <v>193.04</v>
      </c>
      <c r="D98" s="111">
        <v>111.13003999999999</v>
      </c>
      <c r="E98" s="111">
        <v>78</v>
      </c>
      <c r="F98" s="111">
        <v>8</v>
      </c>
      <c r="G98" s="133">
        <v>0.5</v>
      </c>
      <c r="H98" s="111">
        <v>21.75</v>
      </c>
      <c r="I98" s="111">
        <v>0</v>
      </c>
      <c r="J98" s="111">
        <v>0.375</v>
      </c>
      <c r="K98" s="111">
        <v>0.125</v>
      </c>
      <c r="L98">
        <v>0</v>
      </c>
    </row>
    <row r="99" spans="1:12" x14ac:dyDescent="0.2">
      <c r="A99" s="111" t="s">
        <v>186</v>
      </c>
      <c r="B99" s="132">
        <v>37</v>
      </c>
      <c r="C99" s="111">
        <v>165.1</v>
      </c>
      <c r="D99" s="111">
        <v>61.234920000000002</v>
      </c>
      <c r="E99" s="111">
        <v>63</v>
      </c>
      <c r="F99" s="111">
        <v>1</v>
      </c>
      <c r="G99" s="133">
        <v>0</v>
      </c>
      <c r="H99" s="111">
        <v>10</v>
      </c>
      <c r="I99" s="111">
        <v>0</v>
      </c>
      <c r="J99" s="111">
        <v>0</v>
      </c>
      <c r="K99" s="111">
        <v>0</v>
      </c>
      <c r="L99">
        <v>0</v>
      </c>
    </row>
    <row r="100" spans="1:12" x14ac:dyDescent="0.2">
      <c r="A100" s="111" t="s">
        <v>187</v>
      </c>
      <c r="B100" s="132">
        <v>29</v>
      </c>
      <c r="C100" s="111">
        <v>190.5</v>
      </c>
      <c r="D100" s="111">
        <v>83.914519999999996</v>
      </c>
      <c r="E100" s="111">
        <v>77</v>
      </c>
      <c r="F100" s="111">
        <v>2</v>
      </c>
      <c r="G100" s="133">
        <v>0.5</v>
      </c>
      <c r="H100" s="111">
        <v>11</v>
      </c>
      <c r="I100" s="111">
        <v>2</v>
      </c>
      <c r="J100" s="111">
        <v>0.5</v>
      </c>
      <c r="K100" s="111">
        <v>4</v>
      </c>
      <c r="L100">
        <v>0</v>
      </c>
    </row>
    <row r="101" spans="1:12" x14ac:dyDescent="0.2">
      <c r="A101" s="111" t="s">
        <v>188</v>
      </c>
      <c r="B101" s="132">
        <v>26</v>
      </c>
      <c r="C101" s="111">
        <v>185.42</v>
      </c>
      <c r="D101" s="111">
        <v>83.914519999999996</v>
      </c>
      <c r="E101" s="111">
        <v>75</v>
      </c>
      <c r="F101" s="111">
        <v>4</v>
      </c>
      <c r="G101" s="133">
        <v>0.5</v>
      </c>
      <c r="H101" s="111">
        <v>17.75</v>
      </c>
      <c r="I101" s="111">
        <v>2.5</v>
      </c>
      <c r="J101" s="111">
        <v>0.75</v>
      </c>
      <c r="K101" s="111">
        <v>2.75</v>
      </c>
      <c r="L101">
        <v>0</v>
      </c>
    </row>
    <row r="102" spans="1:12" x14ac:dyDescent="0.2">
      <c r="A102" s="111" t="s">
        <v>189</v>
      </c>
      <c r="B102" s="132">
        <v>37</v>
      </c>
      <c r="C102" s="111">
        <v>175.26</v>
      </c>
      <c r="D102" s="111">
        <v>65.770840000000007</v>
      </c>
      <c r="E102" s="111">
        <v>68</v>
      </c>
      <c r="F102" s="111">
        <v>4</v>
      </c>
      <c r="G102" s="133">
        <v>0.5</v>
      </c>
      <c r="H102" s="111">
        <v>26</v>
      </c>
      <c r="I102" s="111">
        <v>0</v>
      </c>
      <c r="J102" s="111">
        <v>0</v>
      </c>
      <c r="K102" s="111">
        <v>1</v>
      </c>
      <c r="L102">
        <v>0</v>
      </c>
    </row>
    <row r="103" spans="1:12" x14ac:dyDescent="0.2">
      <c r="A103" s="111" t="s">
        <v>1564</v>
      </c>
      <c r="B103" s="132">
        <v>28</v>
      </c>
      <c r="C103" s="111">
        <v>177.8</v>
      </c>
      <c r="D103" s="111">
        <v>83.914519999999996</v>
      </c>
      <c r="E103" s="111">
        <v>72</v>
      </c>
      <c r="F103" s="111">
        <v>2</v>
      </c>
      <c r="G103" s="133">
        <v>0</v>
      </c>
      <c r="H103" s="111">
        <v>24</v>
      </c>
      <c r="I103" s="111">
        <v>0</v>
      </c>
      <c r="J103" s="111">
        <v>0</v>
      </c>
      <c r="K103" s="111">
        <v>0.5</v>
      </c>
      <c r="L103">
        <v>0</v>
      </c>
    </row>
    <row r="104" spans="1:12" x14ac:dyDescent="0.2">
      <c r="A104" s="111" t="s">
        <v>190</v>
      </c>
      <c r="B104" s="132">
        <v>46</v>
      </c>
      <c r="C104" s="111">
        <v>172.72</v>
      </c>
      <c r="D104" s="111">
        <v>70.306759999999997</v>
      </c>
      <c r="E104" s="111">
        <v>69.821904000000004</v>
      </c>
      <c r="F104" s="111">
        <v>1</v>
      </c>
      <c r="G104" s="133">
        <v>0</v>
      </c>
      <c r="H104" s="111">
        <v>25</v>
      </c>
      <c r="I104" s="111">
        <v>1</v>
      </c>
      <c r="J104" s="111">
        <v>0</v>
      </c>
      <c r="K104" s="111">
        <v>0</v>
      </c>
      <c r="L104">
        <v>1</v>
      </c>
    </row>
    <row r="105" spans="1:12" x14ac:dyDescent="0.2">
      <c r="A105" s="111" t="s">
        <v>191</v>
      </c>
      <c r="B105" s="132">
        <v>35</v>
      </c>
      <c r="C105" s="111">
        <v>190.5</v>
      </c>
      <c r="D105" s="111">
        <v>92.986360000000005</v>
      </c>
      <c r="E105" s="111">
        <v>77</v>
      </c>
      <c r="F105" s="111">
        <v>2</v>
      </c>
      <c r="G105" s="133">
        <v>0</v>
      </c>
      <c r="H105" s="111">
        <v>4</v>
      </c>
      <c r="I105" s="111">
        <v>0.5</v>
      </c>
      <c r="J105" s="111">
        <v>0</v>
      </c>
      <c r="K105" s="111">
        <v>0</v>
      </c>
      <c r="L105">
        <v>1</v>
      </c>
    </row>
    <row r="106" spans="1:12" x14ac:dyDescent="0.2">
      <c r="A106" s="111" t="s">
        <v>1562</v>
      </c>
      <c r="B106" s="132">
        <v>40</v>
      </c>
      <c r="C106" s="111">
        <v>187.96</v>
      </c>
      <c r="D106" s="111">
        <v>92.986360000000005</v>
      </c>
      <c r="E106" s="111">
        <v>75</v>
      </c>
      <c r="F106" s="111">
        <v>11</v>
      </c>
      <c r="G106" s="133">
        <v>0.45454545454545453</v>
      </c>
      <c r="H106" s="111">
        <v>24</v>
      </c>
      <c r="I106" s="111">
        <v>0.72727272727272729</v>
      </c>
      <c r="J106" s="111">
        <v>0.90909090909090906</v>
      </c>
      <c r="K106" s="111">
        <v>1.5454545454545454</v>
      </c>
      <c r="L106">
        <v>1</v>
      </c>
    </row>
    <row r="107" spans="1:12" x14ac:dyDescent="0.2">
      <c r="A107" s="111" t="s">
        <v>192</v>
      </c>
      <c r="B107" s="132">
        <v>40</v>
      </c>
      <c r="C107" s="111">
        <v>187.96</v>
      </c>
      <c r="D107" s="111">
        <v>92.986360000000005</v>
      </c>
      <c r="E107" s="111">
        <v>75</v>
      </c>
      <c r="F107" s="111">
        <v>8</v>
      </c>
      <c r="G107" s="133">
        <v>0.5</v>
      </c>
      <c r="H107" s="111">
        <v>28.75</v>
      </c>
      <c r="I107" s="111">
        <v>0.125</v>
      </c>
      <c r="J107" s="111">
        <v>0.25</v>
      </c>
      <c r="K107" s="111">
        <v>0.25</v>
      </c>
      <c r="L107">
        <v>1</v>
      </c>
    </row>
    <row r="108" spans="1:12" x14ac:dyDescent="0.2">
      <c r="A108" s="111" t="s">
        <v>193</v>
      </c>
      <c r="B108" s="132">
        <v>37</v>
      </c>
      <c r="C108" s="111">
        <v>193.04</v>
      </c>
      <c r="D108" s="111">
        <v>119.748288</v>
      </c>
      <c r="E108" s="111">
        <v>80</v>
      </c>
      <c r="F108" s="111">
        <v>9</v>
      </c>
      <c r="G108" s="133">
        <v>0.33333333333333331</v>
      </c>
      <c r="H108" s="111">
        <v>18.555555555555557</v>
      </c>
      <c r="I108" s="111">
        <v>0</v>
      </c>
      <c r="J108" s="111">
        <v>0</v>
      </c>
      <c r="K108" s="111">
        <v>0.33333333333333331</v>
      </c>
      <c r="L108">
        <v>0</v>
      </c>
    </row>
    <row r="109" spans="1:12" x14ac:dyDescent="0.2">
      <c r="A109" s="111" t="s">
        <v>1576</v>
      </c>
      <c r="B109" s="132">
        <v>25</v>
      </c>
      <c r="F109" s="111">
        <v>2</v>
      </c>
      <c r="G109" s="133">
        <v>0.5</v>
      </c>
      <c r="H109" s="111">
        <v>6.5</v>
      </c>
      <c r="I109" s="111">
        <v>0</v>
      </c>
      <c r="J109" s="111">
        <v>0</v>
      </c>
      <c r="K109" s="111">
        <v>0</v>
      </c>
      <c r="L109">
        <v>0</v>
      </c>
    </row>
    <row r="110" spans="1:12" x14ac:dyDescent="0.2">
      <c r="A110" s="111" t="s">
        <v>194</v>
      </c>
      <c r="B110" s="132">
        <v>22</v>
      </c>
      <c r="C110" s="111">
        <v>172.72</v>
      </c>
      <c r="D110" s="111">
        <v>65.770840000000007</v>
      </c>
      <c r="E110" s="111">
        <v>70</v>
      </c>
      <c r="F110" s="111">
        <v>1</v>
      </c>
      <c r="G110" s="133">
        <v>1</v>
      </c>
      <c r="H110" s="111">
        <v>23</v>
      </c>
      <c r="I110" s="111">
        <v>1</v>
      </c>
      <c r="J110" s="111">
        <v>1</v>
      </c>
      <c r="K110" s="111">
        <v>0</v>
      </c>
      <c r="L110">
        <v>1</v>
      </c>
    </row>
    <row r="111" spans="1:12" x14ac:dyDescent="0.2">
      <c r="A111" s="111" t="s">
        <v>195</v>
      </c>
      <c r="B111" s="132">
        <v>53</v>
      </c>
      <c r="C111" s="111">
        <v>185.42</v>
      </c>
      <c r="D111" s="111">
        <v>88.904032000000001</v>
      </c>
      <c r="E111" s="111">
        <v>74.847294000000005</v>
      </c>
      <c r="F111" s="111">
        <v>1</v>
      </c>
      <c r="G111" s="133">
        <v>0</v>
      </c>
      <c r="H111" s="111">
        <v>0</v>
      </c>
      <c r="I111" s="111">
        <v>0</v>
      </c>
      <c r="J111" s="111">
        <v>0</v>
      </c>
      <c r="K111" s="111">
        <v>0</v>
      </c>
      <c r="L111">
        <v>0</v>
      </c>
    </row>
    <row r="112" spans="1:12" x14ac:dyDescent="0.2">
      <c r="A112" s="111" t="s">
        <v>196</v>
      </c>
      <c r="B112" s="132" t="s">
        <v>1596</v>
      </c>
      <c r="C112" s="111">
        <v>175.26</v>
      </c>
      <c r="D112" s="111">
        <v>70.306759999999997</v>
      </c>
      <c r="E112" s="111">
        <v>66</v>
      </c>
      <c r="F112" s="111">
        <v>2</v>
      </c>
      <c r="G112" s="133">
        <v>0</v>
      </c>
      <c r="H112" s="111">
        <v>12.5</v>
      </c>
      <c r="I112" s="111">
        <v>0</v>
      </c>
      <c r="J112" s="111">
        <v>0</v>
      </c>
      <c r="K112" s="111">
        <v>0</v>
      </c>
      <c r="L112">
        <v>1</v>
      </c>
    </row>
    <row r="113" spans="1:12" x14ac:dyDescent="0.2">
      <c r="A113" s="111" t="s">
        <v>197</v>
      </c>
      <c r="B113" s="132" t="s">
        <v>1596</v>
      </c>
      <c r="C113" s="111">
        <v>177.8</v>
      </c>
      <c r="D113" s="111">
        <v>102.0582</v>
      </c>
      <c r="E113" s="111">
        <v>71.832059999999998</v>
      </c>
      <c r="F113" s="111">
        <v>1</v>
      </c>
      <c r="G113" s="133">
        <v>0</v>
      </c>
      <c r="H113" s="111">
        <v>0</v>
      </c>
      <c r="I113" s="111">
        <v>0</v>
      </c>
      <c r="J113" s="111">
        <v>0</v>
      </c>
      <c r="K113" s="111">
        <v>0</v>
      </c>
      <c r="L113">
        <v>0</v>
      </c>
    </row>
    <row r="114" spans="1:12" x14ac:dyDescent="0.2">
      <c r="A114" s="111" t="s">
        <v>198</v>
      </c>
      <c r="B114" s="132">
        <v>29</v>
      </c>
      <c r="C114" s="111">
        <v>172.72</v>
      </c>
      <c r="D114" s="111">
        <v>61.234920000000002</v>
      </c>
      <c r="E114" s="111">
        <v>67</v>
      </c>
      <c r="F114" s="111">
        <v>2</v>
      </c>
      <c r="G114" s="133">
        <v>0.5</v>
      </c>
      <c r="H114" s="111">
        <v>33</v>
      </c>
      <c r="I114" s="111">
        <v>1</v>
      </c>
      <c r="J114" s="111">
        <v>0</v>
      </c>
      <c r="K114" s="111">
        <v>0.5</v>
      </c>
      <c r="L114">
        <v>0</v>
      </c>
    </row>
    <row r="115" spans="1:12" x14ac:dyDescent="0.2">
      <c r="A115" s="111" t="s">
        <v>199</v>
      </c>
      <c r="B115" s="132">
        <v>42</v>
      </c>
      <c r="C115" s="111">
        <v>177.8</v>
      </c>
      <c r="D115" s="111">
        <v>109.31567200000001</v>
      </c>
      <c r="E115" s="111">
        <v>71.832059999999998</v>
      </c>
      <c r="F115" s="111">
        <v>3</v>
      </c>
      <c r="G115" s="133">
        <v>0</v>
      </c>
      <c r="H115" s="111">
        <v>19.333333333333332</v>
      </c>
      <c r="I115" s="111">
        <v>2.3333333333333335</v>
      </c>
      <c r="J115" s="111">
        <v>0</v>
      </c>
      <c r="K115" s="111">
        <v>1.6666666666666667</v>
      </c>
      <c r="L115">
        <v>0</v>
      </c>
    </row>
    <row r="116" spans="1:12" x14ac:dyDescent="0.2">
      <c r="A116" s="111" t="s">
        <v>200</v>
      </c>
      <c r="B116" s="132">
        <v>33</v>
      </c>
      <c r="C116" s="111">
        <v>167.64</v>
      </c>
      <c r="D116" s="111">
        <v>61.234920000000002</v>
      </c>
      <c r="E116" s="111">
        <v>65</v>
      </c>
      <c r="F116" s="111">
        <v>1</v>
      </c>
      <c r="G116" s="133">
        <v>0</v>
      </c>
      <c r="H116" s="111">
        <v>11</v>
      </c>
      <c r="I116" s="111">
        <v>0</v>
      </c>
      <c r="J116" s="111">
        <v>0</v>
      </c>
      <c r="K116" s="111">
        <v>0</v>
      </c>
      <c r="L116">
        <v>0</v>
      </c>
    </row>
    <row r="117" spans="1:12" x14ac:dyDescent="0.2">
      <c r="A117" s="111" t="s">
        <v>201</v>
      </c>
      <c r="B117" s="132">
        <v>32</v>
      </c>
      <c r="C117" s="111">
        <v>185.42</v>
      </c>
      <c r="D117" s="111">
        <v>77.110640000000004</v>
      </c>
      <c r="E117" s="111">
        <v>73</v>
      </c>
      <c r="F117" s="111">
        <v>2</v>
      </c>
      <c r="G117" s="133">
        <v>0.5</v>
      </c>
      <c r="H117" s="111">
        <v>25.5</v>
      </c>
      <c r="I117" s="111">
        <v>0</v>
      </c>
      <c r="J117" s="111">
        <v>0</v>
      </c>
      <c r="K117" s="111">
        <v>0</v>
      </c>
      <c r="L117">
        <v>0</v>
      </c>
    </row>
    <row r="118" spans="1:12" x14ac:dyDescent="0.2">
      <c r="A118" s="111" t="s">
        <v>202</v>
      </c>
      <c r="B118" s="132">
        <v>26</v>
      </c>
      <c r="C118" s="111">
        <v>167.64</v>
      </c>
      <c r="D118" s="111">
        <v>56.698999999999998</v>
      </c>
      <c r="E118" s="111">
        <v>66</v>
      </c>
      <c r="F118" s="111">
        <v>2</v>
      </c>
      <c r="G118" s="133">
        <v>0</v>
      </c>
      <c r="H118" s="111">
        <v>5.5</v>
      </c>
      <c r="I118" s="111">
        <v>0.5</v>
      </c>
      <c r="J118" s="111">
        <v>0</v>
      </c>
      <c r="K118" s="111">
        <v>0</v>
      </c>
      <c r="L118">
        <v>0</v>
      </c>
    </row>
    <row r="119" spans="1:12" x14ac:dyDescent="0.2">
      <c r="A119" s="111" t="s">
        <v>1577</v>
      </c>
      <c r="B119" s="132">
        <v>38</v>
      </c>
      <c r="C119" s="111">
        <v>172.72</v>
      </c>
      <c r="D119" s="111">
        <v>65.770840000000007</v>
      </c>
      <c r="E119" s="111">
        <v>70</v>
      </c>
      <c r="F119" s="111">
        <v>23</v>
      </c>
      <c r="G119" s="133">
        <v>0.52173913043478259</v>
      </c>
      <c r="H119" s="111">
        <v>39.608695652173914</v>
      </c>
      <c r="I119" s="111">
        <v>1.3478260869565217</v>
      </c>
      <c r="J119" s="111">
        <v>0.47826086956521741</v>
      </c>
      <c r="K119" s="111">
        <v>1.9565217391304348</v>
      </c>
      <c r="L119">
        <v>0</v>
      </c>
    </row>
    <row r="120" spans="1:12" x14ac:dyDescent="0.2">
      <c r="A120" s="111" t="s">
        <v>203</v>
      </c>
      <c r="B120" s="132">
        <v>33</v>
      </c>
      <c r="C120" s="111">
        <v>175.26</v>
      </c>
      <c r="D120" s="111">
        <v>65.770840000000007</v>
      </c>
      <c r="E120" s="111">
        <v>70</v>
      </c>
      <c r="F120" s="111">
        <v>4</v>
      </c>
      <c r="G120" s="133">
        <v>0.25</v>
      </c>
      <c r="H120" s="111">
        <v>24.5</v>
      </c>
      <c r="I120" s="111">
        <v>0</v>
      </c>
      <c r="J120" s="111">
        <v>0.75</v>
      </c>
      <c r="K120" s="111">
        <v>0</v>
      </c>
      <c r="L120">
        <v>0</v>
      </c>
    </row>
    <row r="121" spans="1:12" x14ac:dyDescent="0.2">
      <c r="A121" s="111" t="s">
        <v>204</v>
      </c>
      <c r="B121" s="132">
        <v>30</v>
      </c>
      <c r="C121" s="111">
        <v>182.88</v>
      </c>
      <c r="D121" s="111">
        <v>83.914519999999996</v>
      </c>
      <c r="E121" s="111">
        <v>75</v>
      </c>
      <c r="F121" s="111">
        <v>2</v>
      </c>
      <c r="G121" s="133">
        <v>1</v>
      </c>
      <c r="H121" s="111">
        <v>33</v>
      </c>
      <c r="I121" s="111">
        <v>8</v>
      </c>
      <c r="J121" s="111">
        <v>0</v>
      </c>
      <c r="K121" s="111">
        <v>8</v>
      </c>
      <c r="L121">
        <v>0</v>
      </c>
    </row>
    <row r="122" spans="1:12" x14ac:dyDescent="0.2">
      <c r="A122" s="111" t="s">
        <v>205</v>
      </c>
      <c r="B122" s="132">
        <v>51</v>
      </c>
      <c r="C122" s="111">
        <v>185.42</v>
      </c>
      <c r="D122" s="111">
        <v>92.986360000000005</v>
      </c>
      <c r="E122" s="111">
        <v>74.847294000000005</v>
      </c>
      <c r="F122" s="111">
        <v>2</v>
      </c>
      <c r="G122" s="133">
        <v>1</v>
      </c>
      <c r="H122" s="111">
        <v>24.5</v>
      </c>
      <c r="I122" s="111">
        <v>0</v>
      </c>
      <c r="J122" s="111">
        <v>0.5</v>
      </c>
      <c r="K122" s="111">
        <v>0</v>
      </c>
      <c r="L122">
        <v>0</v>
      </c>
    </row>
    <row r="123" spans="1:12" x14ac:dyDescent="0.2">
      <c r="A123" s="111" t="s">
        <v>206</v>
      </c>
      <c r="B123" s="132">
        <v>27</v>
      </c>
      <c r="C123" s="111">
        <v>167.64</v>
      </c>
      <c r="D123" s="111">
        <v>52.163080000000001</v>
      </c>
      <c r="E123" s="111">
        <v>64</v>
      </c>
      <c r="F123" s="111">
        <v>2</v>
      </c>
      <c r="G123" s="133">
        <v>0.5</v>
      </c>
      <c r="H123" s="111">
        <v>45</v>
      </c>
      <c r="I123" s="111">
        <v>0</v>
      </c>
      <c r="J123" s="111">
        <v>0.5</v>
      </c>
      <c r="K123" s="111">
        <v>1</v>
      </c>
      <c r="L123">
        <v>0</v>
      </c>
    </row>
    <row r="124" spans="1:12" x14ac:dyDescent="0.2">
      <c r="A124" s="111" t="s">
        <v>207</v>
      </c>
      <c r="B124" s="132">
        <v>35</v>
      </c>
      <c r="C124" s="111">
        <v>180.34</v>
      </c>
      <c r="D124" s="111">
        <v>77.110640000000004</v>
      </c>
      <c r="E124" s="111">
        <v>75</v>
      </c>
      <c r="F124" s="111">
        <v>3</v>
      </c>
      <c r="G124" s="133">
        <v>0.33333333333333331</v>
      </c>
      <c r="H124" s="111">
        <v>10.333333333333334</v>
      </c>
      <c r="I124" s="111">
        <v>0.33333333333333331</v>
      </c>
      <c r="J124" s="111">
        <v>0</v>
      </c>
      <c r="K124" s="111">
        <v>0.66666666666666663</v>
      </c>
      <c r="L124">
        <v>0</v>
      </c>
    </row>
    <row r="125" spans="1:12" x14ac:dyDescent="0.2">
      <c r="A125" s="111" t="s">
        <v>208</v>
      </c>
      <c r="B125" s="132" t="s">
        <v>1596</v>
      </c>
      <c r="C125" s="111">
        <v>172.72</v>
      </c>
      <c r="D125" s="111">
        <v>77.110640000000004</v>
      </c>
      <c r="E125" s="111">
        <v>69.821904000000004</v>
      </c>
      <c r="F125" s="111">
        <v>1</v>
      </c>
      <c r="G125" s="133">
        <v>1</v>
      </c>
      <c r="H125" s="111">
        <v>5</v>
      </c>
      <c r="I125" s="111">
        <v>2</v>
      </c>
      <c r="J125" s="111">
        <v>0</v>
      </c>
      <c r="K125" s="111">
        <v>4</v>
      </c>
      <c r="L125">
        <v>0</v>
      </c>
    </row>
    <row r="126" spans="1:12" x14ac:dyDescent="0.2">
      <c r="A126" s="111" t="s">
        <v>209</v>
      </c>
      <c r="B126" s="132">
        <v>28</v>
      </c>
      <c r="C126" s="111">
        <v>165.1</v>
      </c>
      <c r="D126" s="111">
        <v>56.698999999999998</v>
      </c>
      <c r="E126" s="111">
        <v>65</v>
      </c>
      <c r="F126" s="111">
        <v>2</v>
      </c>
      <c r="G126" s="133">
        <v>1</v>
      </c>
      <c r="H126" s="111">
        <v>19</v>
      </c>
      <c r="I126" s="111">
        <v>0</v>
      </c>
      <c r="J126" s="111">
        <v>1</v>
      </c>
      <c r="K126" s="111">
        <v>1</v>
      </c>
      <c r="L126">
        <v>0</v>
      </c>
    </row>
    <row r="127" spans="1:12" x14ac:dyDescent="0.2">
      <c r="A127" s="111" t="s">
        <v>210</v>
      </c>
      <c r="B127" s="132">
        <v>35</v>
      </c>
      <c r="C127" s="111">
        <v>193.04</v>
      </c>
      <c r="D127" s="111">
        <v>120.20188</v>
      </c>
      <c r="E127" s="111">
        <v>78</v>
      </c>
      <c r="F127" s="111">
        <v>9</v>
      </c>
      <c r="G127" s="133">
        <v>0.66666666666666663</v>
      </c>
      <c r="H127" s="111">
        <v>22.111111111111111</v>
      </c>
      <c r="I127" s="111">
        <v>0.77777777777777779</v>
      </c>
      <c r="J127" s="111">
        <v>0.44444444444444442</v>
      </c>
      <c r="K127" s="111">
        <v>1.7777777777777777</v>
      </c>
      <c r="L127">
        <v>0</v>
      </c>
    </row>
    <row r="128" spans="1:12" x14ac:dyDescent="0.2">
      <c r="A128" s="111" t="s">
        <v>211</v>
      </c>
      <c r="B128" s="132">
        <v>33</v>
      </c>
      <c r="C128" s="111">
        <v>187.96</v>
      </c>
      <c r="D128" s="111">
        <v>77.110640000000004</v>
      </c>
      <c r="E128" s="111">
        <v>77</v>
      </c>
      <c r="F128" s="111">
        <v>11</v>
      </c>
      <c r="G128" s="133">
        <v>0.63636363636363635</v>
      </c>
      <c r="H128" s="111">
        <v>27.636363636363637</v>
      </c>
      <c r="I128" s="111">
        <v>0.18181818181818182</v>
      </c>
      <c r="J128" s="111">
        <v>0.81818181818181823</v>
      </c>
      <c r="K128" s="111">
        <v>0.36363636363636365</v>
      </c>
      <c r="L128">
        <v>0</v>
      </c>
    </row>
    <row r="129" spans="1:12" x14ac:dyDescent="0.2">
      <c r="A129" s="111" t="s">
        <v>212</v>
      </c>
      <c r="B129" s="132">
        <v>27</v>
      </c>
      <c r="C129" s="111">
        <v>177.8</v>
      </c>
      <c r="D129" s="111">
        <v>70.306759999999997</v>
      </c>
      <c r="E129" s="111">
        <v>73</v>
      </c>
      <c r="F129" s="111">
        <v>2</v>
      </c>
      <c r="G129" s="133">
        <v>0</v>
      </c>
      <c r="H129" s="111">
        <v>2.5</v>
      </c>
      <c r="I129" s="111">
        <v>0</v>
      </c>
      <c r="J129" s="111">
        <v>0</v>
      </c>
      <c r="K129" s="111">
        <v>0</v>
      </c>
      <c r="L129">
        <v>0</v>
      </c>
    </row>
    <row r="130" spans="1:12" x14ac:dyDescent="0.2">
      <c r="A130" s="111" t="s">
        <v>213</v>
      </c>
      <c r="B130" s="132">
        <v>27</v>
      </c>
      <c r="C130" s="111">
        <v>177.8</v>
      </c>
      <c r="D130" s="111">
        <v>70.306759999999997</v>
      </c>
      <c r="E130" s="111">
        <v>72</v>
      </c>
      <c r="F130" s="111">
        <v>7</v>
      </c>
      <c r="G130" s="133">
        <v>0.8571428571428571</v>
      </c>
      <c r="H130" s="111">
        <v>29.285714285714285</v>
      </c>
      <c r="I130" s="111">
        <v>1.1428571428571428</v>
      </c>
      <c r="J130" s="111">
        <v>0.7142857142857143</v>
      </c>
      <c r="K130" s="111">
        <v>2.8571428571428572</v>
      </c>
      <c r="L130">
        <v>1</v>
      </c>
    </row>
    <row r="131" spans="1:12" x14ac:dyDescent="0.2">
      <c r="A131" s="111" t="s">
        <v>214</v>
      </c>
      <c r="B131" s="132">
        <v>37</v>
      </c>
      <c r="C131" s="111">
        <v>177.8</v>
      </c>
      <c r="D131" s="111">
        <v>83.914519999999996</v>
      </c>
      <c r="E131" s="111">
        <v>71.832059999999998</v>
      </c>
      <c r="F131" s="111">
        <v>3</v>
      </c>
      <c r="G131" s="133">
        <v>0.33333333333333331</v>
      </c>
      <c r="H131" s="111">
        <v>14.333333333333334</v>
      </c>
      <c r="I131" s="111">
        <v>0</v>
      </c>
      <c r="J131" s="111">
        <v>0</v>
      </c>
      <c r="K131" s="111">
        <v>0.33333333333333331</v>
      </c>
      <c r="L131">
        <v>0</v>
      </c>
    </row>
    <row r="132" spans="1:12" x14ac:dyDescent="0.2">
      <c r="A132" s="111" t="s">
        <v>215</v>
      </c>
      <c r="B132" s="132">
        <v>33</v>
      </c>
      <c r="C132" s="111">
        <v>175.26</v>
      </c>
      <c r="D132" s="111">
        <v>77.110640000000004</v>
      </c>
      <c r="E132" s="111">
        <v>70</v>
      </c>
      <c r="F132" s="111">
        <v>14</v>
      </c>
      <c r="G132" s="133">
        <v>0.7857142857142857</v>
      </c>
      <c r="H132" s="111">
        <v>59</v>
      </c>
      <c r="I132" s="111">
        <v>2.2857142857142856</v>
      </c>
      <c r="J132" s="111">
        <v>0.7142857142857143</v>
      </c>
      <c r="K132" s="111">
        <v>1.6428571428571428</v>
      </c>
      <c r="L132">
        <v>1</v>
      </c>
    </row>
    <row r="133" spans="1:12" x14ac:dyDescent="0.2">
      <c r="A133" s="111" t="s">
        <v>216</v>
      </c>
      <c r="B133" s="132">
        <v>34</v>
      </c>
      <c r="C133" s="111">
        <v>162.56</v>
      </c>
      <c r="D133" s="111">
        <v>56.698999999999998</v>
      </c>
      <c r="E133" s="111">
        <v>68</v>
      </c>
      <c r="F133" s="111">
        <v>1</v>
      </c>
      <c r="G133" s="133">
        <v>0</v>
      </c>
      <c r="H133" s="111">
        <v>15</v>
      </c>
      <c r="I133" s="111">
        <v>0</v>
      </c>
      <c r="J133" s="111">
        <v>0</v>
      </c>
      <c r="K133" s="111">
        <v>0</v>
      </c>
      <c r="L133">
        <v>0</v>
      </c>
    </row>
    <row r="134" spans="1:12" x14ac:dyDescent="0.2">
      <c r="A134" s="111" t="s">
        <v>217</v>
      </c>
      <c r="B134" s="132">
        <v>35</v>
      </c>
      <c r="C134" s="111">
        <v>175.26</v>
      </c>
      <c r="D134" s="111">
        <v>70.306759999999997</v>
      </c>
      <c r="E134" s="111">
        <v>65</v>
      </c>
      <c r="F134" s="111">
        <v>2</v>
      </c>
      <c r="G134" s="133">
        <v>0</v>
      </c>
      <c r="H134" s="111">
        <v>27</v>
      </c>
      <c r="I134" s="111">
        <v>0</v>
      </c>
      <c r="J134" s="111">
        <v>0.5</v>
      </c>
      <c r="K134" s="111">
        <v>0</v>
      </c>
      <c r="L134">
        <v>0</v>
      </c>
    </row>
    <row r="135" spans="1:12" x14ac:dyDescent="0.2">
      <c r="A135" s="111" t="s">
        <v>218</v>
      </c>
      <c r="B135" s="132">
        <v>31</v>
      </c>
      <c r="C135" s="111">
        <v>180.34</v>
      </c>
      <c r="D135" s="111">
        <v>77.110640000000004</v>
      </c>
      <c r="E135" s="111">
        <v>71</v>
      </c>
      <c r="F135" s="111">
        <v>2</v>
      </c>
      <c r="G135" s="133">
        <v>0</v>
      </c>
      <c r="H135" s="111">
        <v>35.5</v>
      </c>
      <c r="I135" s="111">
        <v>1</v>
      </c>
      <c r="J135" s="111">
        <v>0</v>
      </c>
      <c r="K135" s="111">
        <v>0</v>
      </c>
      <c r="L135">
        <v>0</v>
      </c>
    </row>
    <row r="136" spans="1:12" x14ac:dyDescent="0.2">
      <c r="A136" s="111" t="s">
        <v>219</v>
      </c>
      <c r="B136" s="132">
        <v>33</v>
      </c>
      <c r="C136" s="111">
        <v>165.1</v>
      </c>
      <c r="D136" s="111">
        <v>61.234920000000002</v>
      </c>
      <c r="E136" s="111">
        <v>64</v>
      </c>
      <c r="F136" s="111">
        <v>4</v>
      </c>
      <c r="G136" s="133">
        <v>0.75</v>
      </c>
      <c r="H136" s="111">
        <v>58.25</v>
      </c>
      <c r="I136" s="111">
        <v>0.25</v>
      </c>
      <c r="J136" s="111">
        <v>0</v>
      </c>
      <c r="K136" s="111">
        <v>0.25</v>
      </c>
      <c r="L136">
        <v>0</v>
      </c>
    </row>
    <row r="137" spans="1:12" x14ac:dyDescent="0.2">
      <c r="A137" s="111" t="s">
        <v>220</v>
      </c>
      <c r="B137" s="132">
        <v>49</v>
      </c>
      <c r="C137" s="111">
        <v>190.5</v>
      </c>
      <c r="D137" s="111">
        <v>90.718400000000003</v>
      </c>
      <c r="E137" s="111">
        <v>76.85745</v>
      </c>
      <c r="F137" s="111">
        <v>1</v>
      </c>
      <c r="G137" s="133">
        <v>0</v>
      </c>
      <c r="H137" s="111">
        <v>1</v>
      </c>
      <c r="I137" s="111">
        <v>0</v>
      </c>
      <c r="J137" s="111">
        <v>0</v>
      </c>
      <c r="K137" s="111">
        <v>0</v>
      </c>
      <c r="L137">
        <v>0</v>
      </c>
    </row>
    <row r="138" spans="1:12" x14ac:dyDescent="0.2">
      <c r="A138" s="111" t="s">
        <v>221</v>
      </c>
      <c r="B138" s="132" t="s">
        <v>1596</v>
      </c>
      <c r="C138" s="111">
        <v>177.8</v>
      </c>
      <c r="D138" s="111">
        <v>77.110640000000004</v>
      </c>
      <c r="E138" s="111">
        <v>71.832059999999998</v>
      </c>
      <c r="F138" s="111">
        <v>1</v>
      </c>
      <c r="G138" s="133">
        <v>0</v>
      </c>
      <c r="H138" s="111">
        <v>0</v>
      </c>
      <c r="I138" s="111">
        <v>0</v>
      </c>
      <c r="J138" s="111">
        <v>0</v>
      </c>
      <c r="K138" s="111">
        <v>0</v>
      </c>
      <c r="L138">
        <v>0</v>
      </c>
    </row>
    <row r="139" spans="1:12" x14ac:dyDescent="0.2">
      <c r="A139" s="111" t="s">
        <v>222</v>
      </c>
      <c r="B139" s="132" t="s">
        <v>1596</v>
      </c>
      <c r="C139" s="111">
        <v>175.26</v>
      </c>
      <c r="D139" s="111">
        <v>77.110640000000004</v>
      </c>
      <c r="E139" s="111">
        <v>70.826982000000001</v>
      </c>
      <c r="F139" s="111">
        <v>1</v>
      </c>
      <c r="G139" s="133">
        <v>1</v>
      </c>
      <c r="H139" s="111">
        <v>22</v>
      </c>
      <c r="I139" s="111">
        <v>1</v>
      </c>
      <c r="J139" s="111">
        <v>2</v>
      </c>
      <c r="K139" s="111">
        <v>3</v>
      </c>
      <c r="L139">
        <v>0</v>
      </c>
    </row>
    <row r="140" spans="1:12" x14ac:dyDescent="0.2">
      <c r="A140" s="111" t="s">
        <v>223</v>
      </c>
      <c r="B140" s="132">
        <v>42</v>
      </c>
      <c r="C140" s="111">
        <v>190.5</v>
      </c>
      <c r="D140" s="111">
        <v>90.718400000000003</v>
      </c>
      <c r="E140" s="111">
        <v>76.85745</v>
      </c>
      <c r="F140" s="111">
        <v>1</v>
      </c>
      <c r="G140" s="133">
        <v>0</v>
      </c>
      <c r="H140" s="111">
        <v>0</v>
      </c>
      <c r="I140" s="111">
        <v>0</v>
      </c>
      <c r="J140" s="111">
        <v>0</v>
      </c>
      <c r="K140" s="111">
        <v>0</v>
      </c>
      <c r="L140">
        <v>0</v>
      </c>
    </row>
    <row r="141" spans="1:12" x14ac:dyDescent="0.2">
      <c r="A141" s="111" t="s">
        <v>224</v>
      </c>
      <c r="B141" s="132">
        <v>30</v>
      </c>
      <c r="C141" s="111">
        <v>177.8</v>
      </c>
      <c r="D141" s="111">
        <v>70.306759999999997</v>
      </c>
      <c r="E141" s="111">
        <v>71</v>
      </c>
      <c r="F141" s="111">
        <v>5</v>
      </c>
      <c r="G141" s="133">
        <v>0.8</v>
      </c>
      <c r="H141" s="111">
        <v>52.6</v>
      </c>
      <c r="I141" s="111">
        <v>0.8</v>
      </c>
      <c r="J141" s="111">
        <v>0.2</v>
      </c>
      <c r="K141" s="111">
        <v>0.8</v>
      </c>
      <c r="L141">
        <v>0</v>
      </c>
    </row>
    <row r="142" spans="1:12" x14ac:dyDescent="0.2">
      <c r="A142" s="111" t="s">
        <v>225</v>
      </c>
      <c r="B142" s="132">
        <v>50</v>
      </c>
      <c r="C142" s="111">
        <v>187.96</v>
      </c>
      <c r="D142" s="111">
        <v>111.13003999999999</v>
      </c>
      <c r="E142" s="111">
        <v>75.852372000000003</v>
      </c>
      <c r="F142" s="111">
        <v>3</v>
      </c>
      <c r="G142" s="133">
        <v>0</v>
      </c>
      <c r="H142" s="111">
        <v>12</v>
      </c>
      <c r="I142" s="111">
        <v>1.6666666666666667</v>
      </c>
      <c r="J142" s="111">
        <v>0.33333333333333331</v>
      </c>
      <c r="K142" s="111">
        <v>1.6666666666666667</v>
      </c>
      <c r="L142">
        <v>0</v>
      </c>
    </row>
    <row r="143" spans="1:12" x14ac:dyDescent="0.2">
      <c r="A143" s="111" t="s">
        <v>226</v>
      </c>
      <c r="B143" s="132">
        <v>47</v>
      </c>
      <c r="C143" s="111">
        <v>187.96</v>
      </c>
      <c r="D143" s="111">
        <v>92.986360000000005</v>
      </c>
      <c r="E143" s="111">
        <v>75.852372000000003</v>
      </c>
      <c r="F143" s="111">
        <v>1</v>
      </c>
      <c r="G143" s="133">
        <v>0</v>
      </c>
      <c r="H143" s="111">
        <v>21</v>
      </c>
      <c r="I143" s="111">
        <v>1</v>
      </c>
      <c r="J143" s="111">
        <v>0</v>
      </c>
      <c r="K143" s="111">
        <v>0</v>
      </c>
      <c r="L143">
        <v>0</v>
      </c>
    </row>
    <row r="144" spans="1:12" x14ac:dyDescent="0.2">
      <c r="A144" s="111" t="s">
        <v>227</v>
      </c>
      <c r="B144" s="132">
        <v>37</v>
      </c>
      <c r="C144" s="111">
        <v>182.88</v>
      </c>
      <c r="D144" s="111">
        <v>77.110640000000004</v>
      </c>
      <c r="E144" s="111">
        <v>75</v>
      </c>
      <c r="F144" s="111">
        <v>4</v>
      </c>
      <c r="G144" s="133">
        <v>0</v>
      </c>
      <c r="H144" s="111">
        <v>47.75</v>
      </c>
      <c r="I144" s="111">
        <v>1</v>
      </c>
      <c r="J144" s="111">
        <v>0</v>
      </c>
      <c r="K144" s="111">
        <v>0.25</v>
      </c>
      <c r="L144">
        <v>0</v>
      </c>
    </row>
    <row r="145" spans="1:12" x14ac:dyDescent="0.2">
      <c r="A145" s="111" t="s">
        <v>228</v>
      </c>
      <c r="B145" s="132">
        <v>39</v>
      </c>
      <c r="C145" s="111">
        <v>177.8</v>
      </c>
      <c r="D145" s="111">
        <v>77.110640000000004</v>
      </c>
      <c r="E145" s="111">
        <v>73</v>
      </c>
      <c r="F145" s="111">
        <v>5</v>
      </c>
      <c r="G145" s="133">
        <v>0.6</v>
      </c>
      <c r="H145" s="111">
        <v>58.8</v>
      </c>
      <c r="I145" s="111">
        <v>0.8</v>
      </c>
      <c r="J145" s="111">
        <v>0.6</v>
      </c>
      <c r="K145" s="111">
        <v>0.4</v>
      </c>
      <c r="L145">
        <v>0</v>
      </c>
    </row>
    <row r="146" spans="1:12" x14ac:dyDescent="0.2">
      <c r="A146" s="111" t="s">
        <v>229</v>
      </c>
      <c r="B146" s="132" t="s">
        <v>1596</v>
      </c>
      <c r="C146" s="111">
        <v>180.34</v>
      </c>
      <c r="D146" s="111">
        <v>77.110640000000004</v>
      </c>
      <c r="E146" s="111">
        <v>72.837137999999996</v>
      </c>
      <c r="F146" s="111">
        <v>2</v>
      </c>
      <c r="G146" s="133">
        <v>0</v>
      </c>
      <c r="H146" s="111">
        <v>15</v>
      </c>
      <c r="I146" s="111">
        <v>0</v>
      </c>
      <c r="J146" s="111">
        <v>0.5</v>
      </c>
      <c r="K146" s="111">
        <v>1</v>
      </c>
      <c r="L146">
        <v>0</v>
      </c>
    </row>
    <row r="147" spans="1:12" x14ac:dyDescent="0.2">
      <c r="A147" s="111" t="s">
        <v>230</v>
      </c>
      <c r="B147" s="132">
        <v>39</v>
      </c>
      <c r="C147" s="111">
        <v>200.66</v>
      </c>
      <c r="D147" s="111">
        <v>120.20188</v>
      </c>
      <c r="E147" s="111">
        <v>80.877762000000004</v>
      </c>
      <c r="F147" s="111">
        <v>3</v>
      </c>
      <c r="G147" s="133">
        <v>0</v>
      </c>
      <c r="H147" s="111">
        <v>39.666666666666664</v>
      </c>
      <c r="I147" s="111">
        <v>1.6666666666666667</v>
      </c>
      <c r="J147" s="111">
        <v>1</v>
      </c>
      <c r="K147" s="111">
        <v>1</v>
      </c>
      <c r="L147">
        <v>0</v>
      </c>
    </row>
    <row r="148" spans="1:12" x14ac:dyDescent="0.2">
      <c r="A148" s="111" t="s">
        <v>231</v>
      </c>
      <c r="B148" s="132">
        <v>52</v>
      </c>
      <c r="C148" s="111">
        <v>175.26</v>
      </c>
      <c r="D148" s="111">
        <v>99.790239999999997</v>
      </c>
      <c r="E148" s="111">
        <v>70.826982000000001</v>
      </c>
      <c r="F148" s="111">
        <v>1</v>
      </c>
      <c r="G148" s="133">
        <v>1</v>
      </c>
      <c r="H148" s="111">
        <v>3</v>
      </c>
      <c r="I148" s="111">
        <v>1</v>
      </c>
      <c r="J148" s="111">
        <v>0</v>
      </c>
      <c r="K148" s="111">
        <v>0</v>
      </c>
      <c r="L148">
        <v>0</v>
      </c>
    </row>
    <row r="149" spans="1:12" x14ac:dyDescent="0.2">
      <c r="A149" s="111" t="s">
        <v>232</v>
      </c>
      <c r="B149" s="132" t="s">
        <v>1596</v>
      </c>
      <c r="C149" s="111">
        <v>187.96</v>
      </c>
      <c r="D149" s="111">
        <v>92.986360000000005</v>
      </c>
      <c r="E149" s="111">
        <v>75.852372000000003</v>
      </c>
      <c r="F149" s="111">
        <v>2</v>
      </c>
      <c r="G149" s="133">
        <v>0</v>
      </c>
      <c r="H149" s="111">
        <v>2.5</v>
      </c>
      <c r="I149" s="111">
        <v>0</v>
      </c>
      <c r="J149" s="111">
        <v>0</v>
      </c>
      <c r="K149" s="111">
        <v>0</v>
      </c>
      <c r="L149">
        <v>0</v>
      </c>
    </row>
    <row r="150" spans="1:12" x14ac:dyDescent="0.2">
      <c r="A150" s="111" t="s">
        <v>233</v>
      </c>
      <c r="B150" s="132">
        <v>38</v>
      </c>
      <c r="C150" s="111">
        <v>167.64</v>
      </c>
      <c r="D150" s="111">
        <v>61.234920000000002</v>
      </c>
      <c r="E150" s="111">
        <v>68</v>
      </c>
      <c r="F150" s="111">
        <v>10</v>
      </c>
      <c r="G150" s="133">
        <v>0.4</v>
      </c>
      <c r="H150" s="111">
        <v>35.6</v>
      </c>
      <c r="I150" s="111">
        <v>1.5</v>
      </c>
      <c r="J150" s="111">
        <v>0.2</v>
      </c>
      <c r="K150" s="111">
        <v>1</v>
      </c>
      <c r="L150">
        <v>0</v>
      </c>
    </row>
    <row r="151" spans="1:12" x14ac:dyDescent="0.2">
      <c r="A151" s="111" t="s">
        <v>234</v>
      </c>
      <c r="B151" s="132">
        <v>29</v>
      </c>
      <c r="C151" s="111">
        <v>185.42</v>
      </c>
      <c r="D151" s="111">
        <v>83.914519999999996</v>
      </c>
      <c r="E151" s="111">
        <v>74</v>
      </c>
      <c r="F151" s="111">
        <v>12</v>
      </c>
      <c r="G151" s="133">
        <v>0.66666666666666663</v>
      </c>
      <c r="H151" s="111">
        <v>38.583333333333336</v>
      </c>
      <c r="I151" s="111">
        <v>1.1666666666666667</v>
      </c>
      <c r="J151" s="111">
        <v>0</v>
      </c>
      <c r="K151" s="111">
        <v>0.5</v>
      </c>
      <c r="L151">
        <v>0</v>
      </c>
    </row>
    <row r="152" spans="1:12" x14ac:dyDescent="0.2">
      <c r="A152" s="111" t="s">
        <v>235</v>
      </c>
      <c r="B152" s="132">
        <v>27</v>
      </c>
      <c r="C152" s="111">
        <v>185.42</v>
      </c>
      <c r="D152" s="111">
        <v>83.914519999999996</v>
      </c>
      <c r="E152" s="111">
        <v>76</v>
      </c>
      <c r="F152" s="111">
        <v>4</v>
      </c>
      <c r="G152" s="133">
        <v>0.5</v>
      </c>
      <c r="H152" s="111">
        <v>38</v>
      </c>
      <c r="I152" s="111">
        <v>0.5</v>
      </c>
      <c r="J152" s="111">
        <v>0.75</v>
      </c>
      <c r="K152" s="111">
        <v>0.75</v>
      </c>
      <c r="L152">
        <v>0</v>
      </c>
    </row>
    <row r="153" spans="1:12" x14ac:dyDescent="0.2">
      <c r="A153" s="111" t="s">
        <v>236</v>
      </c>
      <c r="B153" s="132">
        <v>43</v>
      </c>
      <c r="C153" s="111">
        <v>190.5</v>
      </c>
      <c r="D153" s="111">
        <v>106.59412</v>
      </c>
      <c r="E153" s="111">
        <v>76.85745</v>
      </c>
      <c r="F153" s="111">
        <v>3</v>
      </c>
      <c r="G153" s="133">
        <v>0.33333333333333331</v>
      </c>
      <c r="H153" s="111">
        <v>12</v>
      </c>
      <c r="I153" s="111">
        <v>1.3333333333333333</v>
      </c>
      <c r="J153" s="111">
        <v>1.3333333333333333</v>
      </c>
      <c r="K153" s="111">
        <v>1.6666666666666667</v>
      </c>
      <c r="L153">
        <v>0</v>
      </c>
    </row>
    <row r="154" spans="1:12" x14ac:dyDescent="0.2">
      <c r="A154" s="111" t="s">
        <v>237</v>
      </c>
      <c r="B154" s="132">
        <v>33</v>
      </c>
      <c r="C154" s="111">
        <v>180.34</v>
      </c>
      <c r="D154" s="111">
        <v>70.306759999999997</v>
      </c>
      <c r="E154" s="111">
        <v>72.837137999999996</v>
      </c>
      <c r="F154" s="111">
        <v>1</v>
      </c>
      <c r="G154" s="133">
        <v>0</v>
      </c>
      <c r="H154" s="111">
        <v>6</v>
      </c>
      <c r="I154" s="111">
        <v>0</v>
      </c>
      <c r="J154" s="111">
        <v>0</v>
      </c>
      <c r="K154" s="111">
        <v>1</v>
      </c>
      <c r="L154">
        <v>1</v>
      </c>
    </row>
    <row r="155" spans="1:12" x14ac:dyDescent="0.2">
      <c r="A155" s="111" t="s">
        <v>238</v>
      </c>
      <c r="B155" s="132">
        <v>31</v>
      </c>
      <c r="C155" s="111">
        <v>187.96</v>
      </c>
      <c r="D155" s="111">
        <v>77.110640000000004</v>
      </c>
      <c r="E155" s="111">
        <v>74</v>
      </c>
      <c r="F155" s="111">
        <v>4</v>
      </c>
      <c r="G155" s="133">
        <v>0.5</v>
      </c>
      <c r="H155" s="111">
        <v>20.25</v>
      </c>
      <c r="I155" s="111">
        <v>0.75</v>
      </c>
      <c r="J155" s="111">
        <v>0</v>
      </c>
      <c r="K155" s="111">
        <v>0</v>
      </c>
      <c r="L155">
        <v>0</v>
      </c>
    </row>
    <row r="156" spans="1:12" x14ac:dyDescent="0.2">
      <c r="A156" s="111" t="s">
        <v>239</v>
      </c>
      <c r="B156" s="132">
        <v>39</v>
      </c>
      <c r="C156" s="111">
        <v>190.5</v>
      </c>
      <c r="D156" s="111">
        <v>104.32616</v>
      </c>
      <c r="E156" s="111">
        <v>76</v>
      </c>
      <c r="F156" s="111">
        <v>16</v>
      </c>
      <c r="G156" s="133">
        <v>0.5</v>
      </c>
      <c r="H156" s="111">
        <v>33.4375</v>
      </c>
      <c r="I156" s="111">
        <v>0.6875</v>
      </c>
      <c r="J156" s="111">
        <v>0.1875</v>
      </c>
      <c r="K156" s="111">
        <v>0.6875</v>
      </c>
      <c r="L156">
        <v>0</v>
      </c>
    </row>
    <row r="157" spans="1:12" x14ac:dyDescent="0.2">
      <c r="A157" s="111" t="s">
        <v>240</v>
      </c>
      <c r="B157" s="132" t="s">
        <v>1596</v>
      </c>
      <c r="C157" s="111">
        <v>175.26</v>
      </c>
      <c r="D157" s="111">
        <v>77.110640000000004</v>
      </c>
      <c r="E157" s="111">
        <v>70.826982000000001</v>
      </c>
      <c r="F157" s="111">
        <v>2</v>
      </c>
      <c r="G157" s="133">
        <v>0</v>
      </c>
      <c r="H157" s="111">
        <v>1</v>
      </c>
      <c r="I157" s="111">
        <v>0</v>
      </c>
      <c r="J157" s="111">
        <v>0</v>
      </c>
      <c r="K157" s="111">
        <v>0</v>
      </c>
      <c r="L157">
        <v>0</v>
      </c>
    </row>
    <row r="158" spans="1:12" x14ac:dyDescent="0.2">
      <c r="A158" s="111" t="s">
        <v>241</v>
      </c>
      <c r="B158" s="132" t="s">
        <v>1596</v>
      </c>
      <c r="C158" s="111">
        <v>175.26</v>
      </c>
      <c r="D158" s="111">
        <v>70.306759999999997</v>
      </c>
      <c r="E158" s="111">
        <v>71</v>
      </c>
      <c r="F158" s="111">
        <v>1</v>
      </c>
      <c r="G158" s="133">
        <v>0</v>
      </c>
      <c r="H158" s="111">
        <v>75</v>
      </c>
      <c r="I158" s="111">
        <v>0</v>
      </c>
      <c r="J158" s="111">
        <v>0</v>
      </c>
      <c r="K158" s="111">
        <v>0</v>
      </c>
      <c r="L158">
        <v>0</v>
      </c>
    </row>
    <row r="159" spans="1:12" x14ac:dyDescent="0.2">
      <c r="A159" s="111" t="s">
        <v>242</v>
      </c>
      <c r="B159" s="132">
        <v>29</v>
      </c>
      <c r="C159" s="111">
        <v>170.18</v>
      </c>
      <c r="D159" s="111">
        <v>77.110640000000004</v>
      </c>
      <c r="E159" s="111">
        <v>69</v>
      </c>
      <c r="F159" s="111">
        <v>2</v>
      </c>
      <c r="G159" s="133">
        <v>0.5</v>
      </c>
      <c r="H159" s="111">
        <v>28.5</v>
      </c>
      <c r="I159" s="111">
        <v>3</v>
      </c>
      <c r="J159" s="111">
        <v>0.5</v>
      </c>
      <c r="K159" s="111">
        <v>1.5</v>
      </c>
      <c r="L159">
        <v>0</v>
      </c>
    </row>
    <row r="160" spans="1:12" x14ac:dyDescent="0.2">
      <c r="A160" s="111" t="s">
        <v>243</v>
      </c>
      <c r="B160" s="132">
        <v>33</v>
      </c>
      <c r="C160" s="111">
        <v>193.04</v>
      </c>
      <c r="D160" s="111">
        <v>111.13003999999999</v>
      </c>
      <c r="E160" s="111">
        <v>78</v>
      </c>
      <c r="F160" s="111">
        <v>11</v>
      </c>
      <c r="G160" s="133">
        <v>0.54545454545454541</v>
      </c>
      <c r="H160" s="111">
        <v>20.636363636363637</v>
      </c>
      <c r="I160" s="111">
        <v>1.0909090909090908</v>
      </c>
      <c r="J160" s="111">
        <v>0.18181818181818182</v>
      </c>
      <c r="K160" s="111">
        <v>0.90909090909090906</v>
      </c>
      <c r="L160">
        <v>0</v>
      </c>
    </row>
    <row r="161" spans="1:12" x14ac:dyDescent="0.2">
      <c r="A161" s="111" t="s">
        <v>244</v>
      </c>
      <c r="B161" s="132">
        <v>36</v>
      </c>
      <c r="C161" s="111">
        <v>170.18</v>
      </c>
      <c r="D161" s="111">
        <v>61.234920000000002</v>
      </c>
      <c r="E161" s="111">
        <v>70</v>
      </c>
      <c r="F161" s="111">
        <v>4</v>
      </c>
      <c r="G161" s="133">
        <v>0.5</v>
      </c>
      <c r="H161" s="111">
        <v>21.25</v>
      </c>
      <c r="I161" s="111">
        <v>0.5</v>
      </c>
      <c r="J161" s="111">
        <v>0.5</v>
      </c>
      <c r="K161" s="111">
        <v>0.75</v>
      </c>
      <c r="L161">
        <v>0</v>
      </c>
    </row>
    <row r="162" spans="1:12" x14ac:dyDescent="0.2">
      <c r="A162" s="111" t="s">
        <v>245</v>
      </c>
      <c r="B162" s="132">
        <v>36</v>
      </c>
      <c r="C162" s="111">
        <v>180.34</v>
      </c>
      <c r="D162" s="111">
        <v>70.306759999999997</v>
      </c>
      <c r="E162" s="111">
        <v>72.837137999999996</v>
      </c>
      <c r="F162" s="111">
        <v>1</v>
      </c>
      <c r="G162" s="133">
        <v>0</v>
      </c>
      <c r="H162" s="111">
        <v>0</v>
      </c>
      <c r="I162" s="111">
        <v>2</v>
      </c>
      <c r="J162" s="111">
        <v>0</v>
      </c>
      <c r="K162" s="111">
        <v>0</v>
      </c>
      <c r="L162">
        <v>0</v>
      </c>
    </row>
    <row r="163" spans="1:12" x14ac:dyDescent="0.2">
      <c r="A163" s="111" t="s">
        <v>246</v>
      </c>
      <c r="B163" s="132">
        <v>36</v>
      </c>
      <c r="C163" s="111">
        <v>182.88</v>
      </c>
      <c r="D163" s="111">
        <v>77.110640000000004</v>
      </c>
      <c r="E163" s="111">
        <v>73</v>
      </c>
      <c r="F163" s="111">
        <v>8</v>
      </c>
      <c r="G163" s="133">
        <v>0.625</v>
      </c>
      <c r="H163" s="111">
        <v>30.125</v>
      </c>
      <c r="I163" s="111">
        <v>1.25</v>
      </c>
      <c r="J163" s="111">
        <v>0.125</v>
      </c>
      <c r="K163" s="111">
        <v>0.875</v>
      </c>
      <c r="L163">
        <v>1</v>
      </c>
    </row>
    <row r="164" spans="1:12" x14ac:dyDescent="0.2">
      <c r="A164" s="111" t="s">
        <v>247</v>
      </c>
      <c r="B164" s="132">
        <v>32</v>
      </c>
      <c r="C164" s="111">
        <v>175.26</v>
      </c>
      <c r="D164" s="111">
        <v>77.110640000000004</v>
      </c>
      <c r="E164" s="111">
        <v>71</v>
      </c>
      <c r="F164" s="111">
        <v>5</v>
      </c>
      <c r="G164" s="133">
        <v>0.6</v>
      </c>
      <c r="H164" s="111">
        <v>16.2</v>
      </c>
      <c r="I164" s="111">
        <v>1.2</v>
      </c>
      <c r="J164" s="111">
        <v>0.6</v>
      </c>
      <c r="K164" s="111">
        <v>1.2</v>
      </c>
      <c r="L164">
        <v>0</v>
      </c>
    </row>
    <row r="165" spans="1:12" x14ac:dyDescent="0.2">
      <c r="A165" s="111" t="s">
        <v>248</v>
      </c>
      <c r="B165" s="132">
        <v>44</v>
      </c>
      <c r="C165" s="111">
        <v>185.42</v>
      </c>
      <c r="D165" s="111">
        <v>77.110640000000004</v>
      </c>
      <c r="E165" s="111">
        <v>74.847294000000005</v>
      </c>
      <c r="F165" s="111">
        <v>1</v>
      </c>
      <c r="G165" s="133">
        <v>0</v>
      </c>
      <c r="H165" s="111">
        <v>3</v>
      </c>
      <c r="I165" s="111">
        <v>0</v>
      </c>
      <c r="J165" s="111">
        <v>0</v>
      </c>
      <c r="K165" s="111">
        <v>0</v>
      </c>
      <c r="L165">
        <v>0</v>
      </c>
    </row>
    <row r="166" spans="1:12" x14ac:dyDescent="0.2">
      <c r="A166" s="111" t="s">
        <v>249</v>
      </c>
      <c r="B166" s="132">
        <v>36</v>
      </c>
      <c r="C166" s="111">
        <v>170.18</v>
      </c>
      <c r="D166" s="111">
        <v>70.306759999999997</v>
      </c>
      <c r="E166" s="111">
        <v>68.816826000000006</v>
      </c>
      <c r="F166" s="111">
        <v>1</v>
      </c>
      <c r="G166" s="133">
        <v>0</v>
      </c>
      <c r="H166" s="111">
        <v>1</v>
      </c>
      <c r="I166" s="111">
        <v>0</v>
      </c>
      <c r="J166" s="111">
        <v>0</v>
      </c>
      <c r="K166" s="111">
        <v>0</v>
      </c>
      <c r="L166">
        <v>0</v>
      </c>
    </row>
    <row r="167" spans="1:12" x14ac:dyDescent="0.2">
      <c r="A167" s="111" t="s">
        <v>250</v>
      </c>
      <c r="B167" s="132">
        <v>29</v>
      </c>
      <c r="C167" s="111">
        <v>187.96</v>
      </c>
      <c r="D167" s="111">
        <v>83.914519999999996</v>
      </c>
      <c r="E167" s="111">
        <v>78</v>
      </c>
      <c r="F167" s="111">
        <v>2</v>
      </c>
      <c r="G167" s="133">
        <v>0</v>
      </c>
      <c r="H167" s="111">
        <v>15</v>
      </c>
      <c r="I167" s="111">
        <v>0.5</v>
      </c>
      <c r="J167" s="111">
        <v>0</v>
      </c>
      <c r="K167" s="111">
        <v>0</v>
      </c>
      <c r="L167">
        <v>0</v>
      </c>
    </row>
    <row r="168" spans="1:12" x14ac:dyDescent="0.2">
      <c r="A168" s="111" t="s">
        <v>251</v>
      </c>
      <c r="B168" s="132">
        <v>48</v>
      </c>
      <c r="C168" s="111">
        <v>190.5</v>
      </c>
      <c r="D168" s="111">
        <v>104.32616</v>
      </c>
      <c r="E168" s="111">
        <v>76.85745</v>
      </c>
      <c r="F168" s="111">
        <v>6</v>
      </c>
      <c r="G168" s="133">
        <v>0.33333333333333331</v>
      </c>
      <c r="H168" s="111">
        <v>4.833333333333333</v>
      </c>
      <c r="I168" s="111">
        <v>0.33333333333333331</v>
      </c>
      <c r="J168" s="111">
        <v>0.16666666666666666</v>
      </c>
      <c r="K168" s="111">
        <v>0.83333333333333337</v>
      </c>
      <c r="L168">
        <v>0</v>
      </c>
    </row>
    <row r="169" spans="1:12" x14ac:dyDescent="0.2">
      <c r="A169" s="111" t="s">
        <v>252</v>
      </c>
      <c r="B169" s="132">
        <v>34</v>
      </c>
      <c r="C169" s="111">
        <v>172.72</v>
      </c>
      <c r="D169" s="111">
        <v>77.110640000000004</v>
      </c>
      <c r="E169" s="111">
        <v>72</v>
      </c>
      <c r="F169" s="111">
        <v>2</v>
      </c>
      <c r="G169" s="133">
        <v>0.5</v>
      </c>
      <c r="H169" s="111">
        <v>15.5</v>
      </c>
      <c r="I169" s="111">
        <v>0.5</v>
      </c>
      <c r="J169" s="111">
        <v>0</v>
      </c>
      <c r="K169" s="111">
        <v>0.5</v>
      </c>
      <c r="L169">
        <v>0</v>
      </c>
    </row>
    <row r="170" spans="1:12" x14ac:dyDescent="0.2">
      <c r="A170" s="111" t="s">
        <v>253</v>
      </c>
      <c r="B170" s="132">
        <v>25</v>
      </c>
      <c r="C170" s="111">
        <v>172.72</v>
      </c>
      <c r="D170" s="111">
        <v>65.770840000000007</v>
      </c>
      <c r="E170" s="111">
        <v>69</v>
      </c>
      <c r="F170" s="111">
        <v>3</v>
      </c>
      <c r="G170" s="133">
        <v>0.66666666666666663</v>
      </c>
      <c r="H170" s="111">
        <v>25.333333333333332</v>
      </c>
      <c r="I170" s="111">
        <v>0</v>
      </c>
      <c r="J170" s="111">
        <v>1</v>
      </c>
      <c r="K170" s="111">
        <v>1</v>
      </c>
      <c r="L170">
        <v>0</v>
      </c>
    </row>
    <row r="171" spans="1:12" x14ac:dyDescent="0.2">
      <c r="A171" s="111" t="s">
        <v>254</v>
      </c>
      <c r="B171" s="132">
        <v>36</v>
      </c>
      <c r="C171" s="111">
        <v>185.42</v>
      </c>
      <c r="D171" s="111">
        <v>92.986360000000005</v>
      </c>
      <c r="E171" s="111">
        <v>74</v>
      </c>
      <c r="F171" s="111">
        <v>11</v>
      </c>
      <c r="G171" s="133">
        <v>0.54545454545454541</v>
      </c>
      <c r="H171" s="111">
        <v>30.272727272727273</v>
      </c>
      <c r="I171" s="111">
        <v>0</v>
      </c>
      <c r="J171" s="111">
        <v>0.27272727272727271</v>
      </c>
      <c r="K171" s="111">
        <v>9.0909090909090912E-2</v>
      </c>
      <c r="L171">
        <v>0</v>
      </c>
    </row>
    <row r="172" spans="1:12" x14ac:dyDescent="0.2">
      <c r="A172" s="111" t="s">
        <v>255</v>
      </c>
      <c r="B172" s="132">
        <v>34</v>
      </c>
      <c r="C172" s="111">
        <v>185.42</v>
      </c>
      <c r="D172" s="111">
        <v>77.110640000000004</v>
      </c>
      <c r="E172" s="111">
        <v>71</v>
      </c>
      <c r="F172" s="111">
        <v>2</v>
      </c>
      <c r="G172" s="133">
        <v>0</v>
      </c>
      <c r="H172" s="111">
        <v>10.5</v>
      </c>
      <c r="I172" s="111">
        <v>1.5</v>
      </c>
      <c r="J172" s="111">
        <v>0</v>
      </c>
      <c r="K172" s="111">
        <v>0</v>
      </c>
      <c r="L172">
        <v>0</v>
      </c>
    </row>
    <row r="173" spans="1:12" x14ac:dyDescent="0.2">
      <c r="A173" s="111" t="s">
        <v>256</v>
      </c>
      <c r="B173" s="132">
        <v>31</v>
      </c>
      <c r="C173" s="111">
        <v>180.34</v>
      </c>
      <c r="D173" s="111">
        <v>77.110640000000004</v>
      </c>
      <c r="E173" s="111">
        <v>73</v>
      </c>
      <c r="F173" s="111">
        <v>2</v>
      </c>
      <c r="G173" s="133">
        <v>0</v>
      </c>
      <c r="H173" s="111">
        <v>9.5</v>
      </c>
      <c r="I173" s="111">
        <v>0</v>
      </c>
      <c r="J173" s="111">
        <v>0.5</v>
      </c>
      <c r="K173" s="111">
        <v>0</v>
      </c>
      <c r="L173">
        <v>0</v>
      </c>
    </row>
    <row r="174" spans="1:12" x14ac:dyDescent="0.2">
      <c r="A174" s="111" t="s">
        <v>257</v>
      </c>
      <c r="B174" s="132">
        <v>39</v>
      </c>
      <c r="C174" s="111">
        <v>180.34</v>
      </c>
      <c r="D174" s="111">
        <v>77.110640000000004</v>
      </c>
      <c r="E174" s="111">
        <v>71</v>
      </c>
      <c r="F174" s="111">
        <v>6</v>
      </c>
      <c r="G174" s="133">
        <v>0.5</v>
      </c>
      <c r="H174" s="111">
        <v>11.666666666666666</v>
      </c>
      <c r="I174" s="111">
        <v>1.5</v>
      </c>
      <c r="J174" s="111">
        <v>1.1666666666666667</v>
      </c>
      <c r="K174" s="111">
        <v>1</v>
      </c>
      <c r="L174">
        <v>1</v>
      </c>
    </row>
    <row r="175" spans="1:12" x14ac:dyDescent="0.2">
      <c r="A175" s="111" t="s">
        <v>258</v>
      </c>
      <c r="B175" s="132">
        <v>39</v>
      </c>
      <c r="C175" s="111">
        <v>190.5</v>
      </c>
      <c r="D175" s="111">
        <v>120.20188</v>
      </c>
      <c r="E175" s="111">
        <v>81</v>
      </c>
      <c r="F175" s="111">
        <v>7</v>
      </c>
      <c r="G175" s="133">
        <v>0.5714285714285714</v>
      </c>
      <c r="H175" s="111">
        <v>23.142857142857142</v>
      </c>
      <c r="I175" s="111">
        <v>1.5714285714285714</v>
      </c>
      <c r="J175" s="111">
        <v>0.2857142857142857</v>
      </c>
      <c r="K175" s="111">
        <v>2</v>
      </c>
      <c r="L175">
        <v>0</v>
      </c>
    </row>
    <row r="176" spans="1:12" x14ac:dyDescent="0.2">
      <c r="A176" s="111" t="s">
        <v>259</v>
      </c>
      <c r="B176" s="132" t="s">
        <v>1596</v>
      </c>
      <c r="C176" s="111">
        <v>185.42</v>
      </c>
      <c r="D176" s="111">
        <v>77.110640000000004</v>
      </c>
      <c r="E176" s="111">
        <v>74.847294000000005</v>
      </c>
      <c r="F176" s="111">
        <v>2</v>
      </c>
      <c r="G176" s="133">
        <v>0</v>
      </c>
      <c r="H176" s="111">
        <v>14</v>
      </c>
      <c r="I176" s="111">
        <v>0.5</v>
      </c>
      <c r="J176" s="111">
        <v>0.5</v>
      </c>
      <c r="K176" s="111">
        <v>0</v>
      </c>
      <c r="L176">
        <v>0</v>
      </c>
    </row>
    <row r="177" spans="1:12" x14ac:dyDescent="0.2">
      <c r="A177" s="111" t="s">
        <v>260</v>
      </c>
      <c r="B177" s="132" t="s">
        <v>1596</v>
      </c>
      <c r="F177" s="111">
        <v>1</v>
      </c>
      <c r="G177" s="133">
        <v>0</v>
      </c>
      <c r="H177" s="111">
        <v>27</v>
      </c>
      <c r="I177" s="111">
        <v>0</v>
      </c>
      <c r="J177" s="111">
        <v>0</v>
      </c>
      <c r="K177" s="111">
        <v>0</v>
      </c>
      <c r="L177">
        <v>0</v>
      </c>
    </row>
    <row r="178" spans="1:12" x14ac:dyDescent="0.2">
      <c r="A178" s="111" t="s">
        <v>261</v>
      </c>
      <c r="B178" s="132">
        <v>29</v>
      </c>
      <c r="C178" s="111">
        <v>175.26</v>
      </c>
      <c r="D178" s="111">
        <v>83.914519999999996</v>
      </c>
      <c r="E178" s="111">
        <v>69</v>
      </c>
      <c r="F178" s="111">
        <v>3</v>
      </c>
      <c r="G178" s="133">
        <v>0.33333333333333331</v>
      </c>
      <c r="H178" s="111">
        <v>17.666666666666668</v>
      </c>
      <c r="I178" s="111">
        <v>3</v>
      </c>
      <c r="J178" s="111">
        <v>0.33333333333333331</v>
      </c>
      <c r="K178" s="111">
        <v>4.333333333333333</v>
      </c>
      <c r="L178">
        <v>0</v>
      </c>
    </row>
    <row r="179" spans="1:12" x14ac:dyDescent="0.2">
      <c r="A179" s="111" t="s">
        <v>262</v>
      </c>
      <c r="B179" s="132">
        <v>27</v>
      </c>
      <c r="C179" s="111">
        <v>182.88</v>
      </c>
      <c r="D179" s="111">
        <v>70.306759999999997</v>
      </c>
      <c r="E179" s="111">
        <v>72</v>
      </c>
      <c r="F179" s="111">
        <v>3</v>
      </c>
      <c r="G179" s="133">
        <v>0.66666666666666663</v>
      </c>
      <c r="H179" s="111">
        <v>61</v>
      </c>
      <c r="I179" s="111">
        <v>0.66666666666666663</v>
      </c>
      <c r="J179" s="111">
        <v>0.33333333333333331</v>
      </c>
      <c r="K179" s="111">
        <v>0.33333333333333331</v>
      </c>
      <c r="L179">
        <v>1</v>
      </c>
    </row>
    <row r="180" spans="1:12" x14ac:dyDescent="0.2">
      <c r="A180" s="111" t="s">
        <v>263</v>
      </c>
      <c r="B180" s="132">
        <v>32</v>
      </c>
      <c r="C180" s="111">
        <v>172.72</v>
      </c>
      <c r="D180" s="111">
        <v>61.234920000000002</v>
      </c>
      <c r="E180" s="111">
        <v>68</v>
      </c>
      <c r="F180" s="111">
        <v>7</v>
      </c>
      <c r="G180" s="133">
        <v>0.7142857142857143</v>
      </c>
      <c r="H180" s="111">
        <v>31.571428571428573</v>
      </c>
      <c r="I180" s="111">
        <v>2.1428571428571428</v>
      </c>
      <c r="J180" s="111">
        <v>0.8571428571428571</v>
      </c>
      <c r="K180" s="111">
        <v>3.2857142857142856</v>
      </c>
      <c r="L180">
        <v>0</v>
      </c>
    </row>
    <row r="181" spans="1:12" x14ac:dyDescent="0.2">
      <c r="A181" s="111" t="s">
        <v>264</v>
      </c>
      <c r="B181" s="132">
        <v>31</v>
      </c>
      <c r="C181" s="111">
        <v>182.88</v>
      </c>
      <c r="D181" s="111">
        <v>83.914519999999996</v>
      </c>
      <c r="E181" s="111">
        <v>73</v>
      </c>
      <c r="F181" s="111">
        <v>2</v>
      </c>
      <c r="G181" s="133">
        <v>0</v>
      </c>
      <c r="H181" s="111">
        <v>5</v>
      </c>
      <c r="I181" s="111">
        <v>1.5</v>
      </c>
      <c r="J181" s="111">
        <v>0</v>
      </c>
      <c r="K181" s="111">
        <v>2.5</v>
      </c>
      <c r="L181">
        <v>0</v>
      </c>
    </row>
    <row r="182" spans="1:12" x14ac:dyDescent="0.2">
      <c r="A182" s="111" t="s">
        <v>265</v>
      </c>
      <c r="B182" s="132">
        <v>33</v>
      </c>
      <c r="C182" s="111">
        <v>190.5</v>
      </c>
      <c r="D182" s="111">
        <v>83.914519999999996</v>
      </c>
      <c r="E182" s="111">
        <v>75</v>
      </c>
      <c r="F182" s="111">
        <v>3</v>
      </c>
      <c r="G182" s="133">
        <v>0.33333333333333331</v>
      </c>
      <c r="H182" s="111">
        <v>17.666666666666668</v>
      </c>
      <c r="I182" s="111">
        <v>0.66666666666666663</v>
      </c>
      <c r="J182" s="111">
        <v>1</v>
      </c>
      <c r="K182" s="111">
        <v>3.6666666666666665</v>
      </c>
      <c r="L182">
        <v>1</v>
      </c>
    </row>
    <row r="183" spans="1:12" x14ac:dyDescent="0.2">
      <c r="A183" s="111" t="s">
        <v>266</v>
      </c>
      <c r="B183" s="132">
        <v>34</v>
      </c>
      <c r="C183" s="111">
        <v>187.96</v>
      </c>
      <c r="D183" s="111">
        <v>83.914519999999996</v>
      </c>
      <c r="E183" s="111">
        <v>75.852372000000003</v>
      </c>
      <c r="F183" s="111">
        <v>2</v>
      </c>
      <c r="G183" s="133">
        <v>0.5</v>
      </c>
      <c r="H183" s="111">
        <v>25</v>
      </c>
      <c r="I183" s="111">
        <v>0</v>
      </c>
      <c r="J183" s="111">
        <v>0.5</v>
      </c>
      <c r="K183" s="111">
        <v>0</v>
      </c>
      <c r="L183">
        <v>0</v>
      </c>
    </row>
    <row r="184" spans="1:12" x14ac:dyDescent="0.2">
      <c r="A184" s="111" t="s">
        <v>267</v>
      </c>
      <c r="B184" s="132">
        <v>33</v>
      </c>
      <c r="C184" s="111">
        <v>172.72</v>
      </c>
      <c r="D184" s="111">
        <v>61.234920000000002</v>
      </c>
      <c r="E184" s="111">
        <v>69</v>
      </c>
      <c r="F184" s="111">
        <v>2</v>
      </c>
      <c r="G184" s="133">
        <v>0</v>
      </c>
      <c r="H184" s="111">
        <v>12.5</v>
      </c>
      <c r="I184" s="111">
        <v>0</v>
      </c>
      <c r="J184" s="111">
        <v>0</v>
      </c>
      <c r="K184" s="111">
        <v>0</v>
      </c>
      <c r="L184">
        <v>0</v>
      </c>
    </row>
    <row r="185" spans="1:12" x14ac:dyDescent="0.2">
      <c r="A185" s="111" t="s">
        <v>1557</v>
      </c>
      <c r="B185" s="132">
        <v>33</v>
      </c>
      <c r="C185" s="111">
        <v>187.96</v>
      </c>
      <c r="D185" s="111">
        <v>83.914519999999996</v>
      </c>
      <c r="E185" s="111">
        <v>76</v>
      </c>
      <c r="F185" s="111">
        <v>17</v>
      </c>
      <c r="G185" s="133">
        <v>0.52941176470588236</v>
      </c>
      <c r="H185" s="111">
        <v>21.470588235294116</v>
      </c>
      <c r="I185" s="111">
        <v>1.8235294117647058</v>
      </c>
      <c r="J185" s="111">
        <v>0.52941176470588236</v>
      </c>
      <c r="K185" s="111">
        <v>1.8823529411764706</v>
      </c>
      <c r="L185">
        <v>0</v>
      </c>
    </row>
    <row r="186" spans="1:12" x14ac:dyDescent="0.2">
      <c r="A186" s="111" t="s">
        <v>1582</v>
      </c>
      <c r="B186" s="132">
        <v>30</v>
      </c>
      <c r="C186" s="111">
        <v>182.88</v>
      </c>
      <c r="D186" s="111">
        <v>70.306759999999997</v>
      </c>
      <c r="E186" s="111">
        <v>73.842215999999993</v>
      </c>
      <c r="F186" s="111">
        <v>2</v>
      </c>
      <c r="G186" s="133">
        <v>0</v>
      </c>
      <c r="H186" s="111">
        <v>4</v>
      </c>
      <c r="I186" s="111">
        <v>0</v>
      </c>
      <c r="J186" s="111">
        <v>0</v>
      </c>
      <c r="K186" s="111">
        <v>1</v>
      </c>
      <c r="L186">
        <v>0</v>
      </c>
    </row>
    <row r="187" spans="1:12" x14ac:dyDescent="0.2">
      <c r="A187" s="111" t="s">
        <v>268</v>
      </c>
      <c r="B187" s="132">
        <v>30</v>
      </c>
      <c r="C187" s="111">
        <v>172.72</v>
      </c>
      <c r="D187" s="111">
        <v>70.306759999999997</v>
      </c>
      <c r="E187" s="111">
        <v>74</v>
      </c>
      <c r="F187" s="111">
        <v>2</v>
      </c>
      <c r="G187" s="133">
        <v>0</v>
      </c>
      <c r="H187" s="111">
        <v>22</v>
      </c>
      <c r="I187" s="111">
        <v>0</v>
      </c>
      <c r="J187" s="111">
        <v>0</v>
      </c>
      <c r="K187" s="111">
        <v>0</v>
      </c>
      <c r="L187">
        <v>0</v>
      </c>
    </row>
    <row r="188" spans="1:12" x14ac:dyDescent="0.2">
      <c r="A188" s="111" t="s">
        <v>269</v>
      </c>
      <c r="B188" s="132">
        <v>34</v>
      </c>
      <c r="C188" s="111">
        <v>185.42</v>
      </c>
      <c r="D188" s="111">
        <v>108.86208000000001</v>
      </c>
      <c r="E188" s="111">
        <v>77</v>
      </c>
      <c r="F188" s="111">
        <v>13</v>
      </c>
      <c r="G188" s="133">
        <v>0.84615384615384615</v>
      </c>
      <c r="H188" s="111">
        <v>51.384615384615387</v>
      </c>
      <c r="I188" s="111">
        <v>2.5384615384615383</v>
      </c>
      <c r="J188" s="111">
        <v>0.23076923076923078</v>
      </c>
      <c r="K188" s="111">
        <v>2.2307692307692308</v>
      </c>
      <c r="L188">
        <v>0</v>
      </c>
    </row>
    <row r="189" spans="1:12" x14ac:dyDescent="0.2">
      <c r="A189" s="111" t="s">
        <v>270</v>
      </c>
      <c r="B189" s="132">
        <v>29</v>
      </c>
      <c r="C189" s="111">
        <v>185.42</v>
      </c>
      <c r="D189" s="111">
        <v>83.914519999999996</v>
      </c>
      <c r="E189" s="111">
        <v>73</v>
      </c>
      <c r="F189" s="111">
        <v>6</v>
      </c>
      <c r="G189" s="133">
        <v>0.66666666666666663</v>
      </c>
      <c r="H189" s="111">
        <v>17.166666666666668</v>
      </c>
      <c r="I189" s="111">
        <v>0.5</v>
      </c>
      <c r="J189" s="111">
        <v>0.83333333333333337</v>
      </c>
      <c r="K189" s="111">
        <v>0.83333333333333337</v>
      </c>
      <c r="L189">
        <v>0</v>
      </c>
    </row>
    <row r="190" spans="1:12" x14ac:dyDescent="0.2">
      <c r="A190" s="111" t="s">
        <v>271</v>
      </c>
      <c r="B190" s="132" t="s">
        <v>1596</v>
      </c>
      <c r="C190" s="111">
        <v>180.34</v>
      </c>
      <c r="D190" s="111">
        <v>104.32616</v>
      </c>
      <c r="E190" s="111">
        <v>72.837137999999996</v>
      </c>
      <c r="F190" s="111">
        <v>3</v>
      </c>
      <c r="G190" s="133">
        <v>0.33333333333333331</v>
      </c>
      <c r="H190" s="111">
        <v>7.666666666666667</v>
      </c>
      <c r="I190" s="111">
        <v>0.33333333333333331</v>
      </c>
      <c r="J190" s="111">
        <v>0</v>
      </c>
      <c r="K190" s="111">
        <v>0.33333333333333331</v>
      </c>
      <c r="L190">
        <v>0</v>
      </c>
    </row>
    <row r="191" spans="1:12" x14ac:dyDescent="0.2">
      <c r="A191" s="111" t="s">
        <v>272</v>
      </c>
      <c r="B191" s="132">
        <v>30</v>
      </c>
      <c r="C191" s="111">
        <v>185.42</v>
      </c>
      <c r="D191" s="111">
        <v>83.914519999999996</v>
      </c>
      <c r="E191" s="111">
        <v>74.847294000000005</v>
      </c>
      <c r="F191" s="111">
        <v>1</v>
      </c>
      <c r="G191" s="133">
        <v>0</v>
      </c>
      <c r="H191" s="111">
        <v>6</v>
      </c>
      <c r="I191" s="111">
        <v>0</v>
      </c>
      <c r="J191" s="111">
        <v>0</v>
      </c>
      <c r="K191" s="111">
        <v>0</v>
      </c>
      <c r="L191">
        <v>0</v>
      </c>
    </row>
    <row r="192" spans="1:12" x14ac:dyDescent="0.2">
      <c r="A192" s="111" t="s">
        <v>273</v>
      </c>
      <c r="B192" s="132">
        <v>29</v>
      </c>
      <c r="C192" s="111">
        <v>180.34</v>
      </c>
      <c r="D192" s="111">
        <v>70.306759999999997</v>
      </c>
      <c r="E192" s="111">
        <v>72.837137999999996</v>
      </c>
      <c r="F192" s="111">
        <v>1</v>
      </c>
      <c r="G192" s="133">
        <v>0</v>
      </c>
      <c r="H192" s="111">
        <v>24</v>
      </c>
      <c r="I192" s="111">
        <v>0</v>
      </c>
      <c r="J192" s="111">
        <v>0</v>
      </c>
      <c r="K192" s="111">
        <v>0</v>
      </c>
      <c r="L192">
        <v>0</v>
      </c>
    </row>
    <row r="193" spans="1:12" x14ac:dyDescent="0.2">
      <c r="A193" s="111" t="s">
        <v>274</v>
      </c>
      <c r="B193" s="132">
        <v>41</v>
      </c>
      <c r="C193" s="111">
        <v>170.18</v>
      </c>
      <c r="D193" s="111">
        <v>70.306759999999997</v>
      </c>
      <c r="E193" s="111">
        <v>70</v>
      </c>
      <c r="F193" s="111">
        <v>10</v>
      </c>
      <c r="G193" s="133">
        <v>0.3</v>
      </c>
      <c r="H193" s="111">
        <v>26.6</v>
      </c>
      <c r="I193" s="111">
        <v>2</v>
      </c>
      <c r="J193" s="111">
        <v>0.2</v>
      </c>
      <c r="K193" s="111">
        <v>1.8</v>
      </c>
      <c r="L193">
        <v>1</v>
      </c>
    </row>
    <row r="194" spans="1:12" x14ac:dyDescent="0.2">
      <c r="A194" s="111" t="s">
        <v>275</v>
      </c>
      <c r="B194" s="132">
        <v>29</v>
      </c>
      <c r="C194" s="111">
        <v>154.94</v>
      </c>
      <c r="D194" s="111">
        <v>52.163080000000001</v>
      </c>
      <c r="E194" s="111">
        <v>63</v>
      </c>
      <c r="F194" s="111">
        <v>2</v>
      </c>
      <c r="G194" s="133">
        <v>0.5</v>
      </c>
      <c r="H194" s="111">
        <v>23</v>
      </c>
      <c r="I194" s="111">
        <v>3</v>
      </c>
      <c r="J194" s="111">
        <v>0.5</v>
      </c>
      <c r="K194" s="111">
        <v>3</v>
      </c>
      <c r="L194">
        <v>0</v>
      </c>
    </row>
    <row r="195" spans="1:12" x14ac:dyDescent="0.2">
      <c r="A195" s="111" t="s">
        <v>276</v>
      </c>
      <c r="B195" s="132">
        <v>35</v>
      </c>
      <c r="C195" s="111">
        <v>180.34</v>
      </c>
      <c r="D195" s="111">
        <v>70.306759999999997</v>
      </c>
      <c r="E195" s="111">
        <v>72</v>
      </c>
      <c r="F195" s="111">
        <v>3</v>
      </c>
      <c r="G195" s="133">
        <v>0.33333333333333331</v>
      </c>
      <c r="H195" s="111">
        <v>23</v>
      </c>
      <c r="I195" s="111">
        <v>0</v>
      </c>
      <c r="J195" s="111">
        <v>1.3333333333333333</v>
      </c>
      <c r="K195" s="111">
        <v>0</v>
      </c>
      <c r="L195">
        <v>0</v>
      </c>
    </row>
    <row r="196" spans="1:12" x14ac:dyDescent="0.2">
      <c r="A196" s="111" t="s">
        <v>277</v>
      </c>
      <c r="B196" s="132">
        <v>30</v>
      </c>
      <c r="C196" s="111">
        <v>190.5</v>
      </c>
      <c r="D196" s="111">
        <v>92.986360000000005</v>
      </c>
      <c r="E196" s="111">
        <v>77</v>
      </c>
      <c r="F196" s="111">
        <v>2</v>
      </c>
      <c r="G196" s="133">
        <v>0</v>
      </c>
      <c r="H196" s="111">
        <v>3.5</v>
      </c>
      <c r="I196" s="111">
        <v>0</v>
      </c>
      <c r="J196" s="111">
        <v>0</v>
      </c>
      <c r="K196" s="111">
        <v>0</v>
      </c>
      <c r="L196">
        <v>0</v>
      </c>
    </row>
    <row r="197" spans="1:12" x14ac:dyDescent="0.2">
      <c r="A197" s="111" t="s">
        <v>278</v>
      </c>
      <c r="B197" s="132">
        <v>48</v>
      </c>
      <c r="C197" s="111">
        <v>193.04</v>
      </c>
      <c r="D197" s="111">
        <v>104.32616</v>
      </c>
      <c r="E197" s="111">
        <v>77.862527999999998</v>
      </c>
      <c r="F197" s="111">
        <v>1</v>
      </c>
      <c r="G197" s="133">
        <v>0</v>
      </c>
      <c r="H197" s="111">
        <v>11</v>
      </c>
      <c r="I197" s="111">
        <v>2</v>
      </c>
      <c r="J197" s="111">
        <v>0</v>
      </c>
      <c r="K197" s="111">
        <v>1</v>
      </c>
      <c r="L197">
        <v>0</v>
      </c>
    </row>
    <row r="198" spans="1:12" x14ac:dyDescent="0.2">
      <c r="A198" s="111" t="s">
        <v>279</v>
      </c>
      <c r="B198" s="132">
        <v>32</v>
      </c>
      <c r="C198" s="111">
        <v>187.96</v>
      </c>
      <c r="D198" s="111">
        <v>77.110640000000004</v>
      </c>
      <c r="E198" s="111">
        <v>75</v>
      </c>
      <c r="F198" s="111">
        <v>12</v>
      </c>
      <c r="G198" s="133">
        <v>0.58333333333333337</v>
      </c>
      <c r="H198" s="111">
        <v>63.416666666666664</v>
      </c>
      <c r="I198" s="111">
        <v>0.5</v>
      </c>
      <c r="J198" s="111">
        <v>0.75</v>
      </c>
      <c r="K198" s="111">
        <v>2.0833333333333335</v>
      </c>
      <c r="L198">
        <v>0</v>
      </c>
    </row>
    <row r="199" spans="1:12" x14ac:dyDescent="0.2">
      <c r="A199" s="111" t="s">
        <v>280</v>
      </c>
      <c r="B199" s="132">
        <v>31</v>
      </c>
      <c r="C199" s="111">
        <v>175.26</v>
      </c>
      <c r="D199" s="111">
        <v>70.306759999999997</v>
      </c>
      <c r="E199" s="111">
        <v>74</v>
      </c>
      <c r="F199" s="111">
        <v>5</v>
      </c>
      <c r="G199" s="133">
        <v>0.6</v>
      </c>
      <c r="H199" s="111">
        <v>27.6</v>
      </c>
      <c r="I199" s="111">
        <v>0.2</v>
      </c>
      <c r="J199" s="111">
        <v>0.6</v>
      </c>
      <c r="K199" s="111">
        <v>1</v>
      </c>
      <c r="L199">
        <v>0</v>
      </c>
    </row>
    <row r="200" spans="1:12" x14ac:dyDescent="0.2">
      <c r="A200" s="111" t="s">
        <v>281</v>
      </c>
      <c r="B200" s="132">
        <v>35</v>
      </c>
      <c r="C200" s="111">
        <v>177.8</v>
      </c>
      <c r="D200" s="111">
        <v>77.110640000000004</v>
      </c>
      <c r="E200" s="111">
        <v>70</v>
      </c>
      <c r="F200" s="111">
        <v>3</v>
      </c>
      <c r="G200" s="133">
        <v>0.33333333333333331</v>
      </c>
      <c r="H200" s="111">
        <v>13.333333333333334</v>
      </c>
      <c r="I200" s="111">
        <v>0</v>
      </c>
      <c r="J200" s="111">
        <v>1</v>
      </c>
      <c r="K200" s="111">
        <v>1.3333333333333333</v>
      </c>
      <c r="L200">
        <v>0</v>
      </c>
    </row>
    <row r="201" spans="1:12" x14ac:dyDescent="0.2">
      <c r="A201" s="111" t="s">
        <v>282</v>
      </c>
      <c r="B201" s="132">
        <v>40</v>
      </c>
      <c r="C201" s="111">
        <v>175.26</v>
      </c>
      <c r="D201" s="111">
        <v>77.110640000000004</v>
      </c>
      <c r="E201" s="111">
        <v>70.826982000000001</v>
      </c>
      <c r="F201" s="111">
        <v>7</v>
      </c>
      <c r="G201" s="133">
        <v>0.42857142857142855</v>
      </c>
      <c r="H201" s="111">
        <v>6.2857142857142856</v>
      </c>
      <c r="I201" s="111">
        <v>1.1428571428571428</v>
      </c>
      <c r="J201" s="111">
        <v>1.1428571428571428</v>
      </c>
      <c r="K201" s="111">
        <v>1</v>
      </c>
      <c r="L201">
        <v>0</v>
      </c>
    </row>
    <row r="202" spans="1:12" x14ac:dyDescent="0.2">
      <c r="A202" s="111" t="s">
        <v>283</v>
      </c>
      <c r="B202" s="132">
        <v>35</v>
      </c>
      <c r="C202" s="111">
        <v>182.88</v>
      </c>
      <c r="D202" s="111">
        <v>92.986360000000005</v>
      </c>
      <c r="E202" s="111">
        <v>73</v>
      </c>
      <c r="F202" s="111">
        <v>4</v>
      </c>
      <c r="G202" s="133">
        <v>0.25</v>
      </c>
      <c r="H202" s="111">
        <v>6.75</v>
      </c>
      <c r="I202" s="111">
        <v>1.5</v>
      </c>
      <c r="J202" s="111">
        <v>0</v>
      </c>
      <c r="K202" s="111">
        <v>1.25</v>
      </c>
      <c r="L202">
        <v>0</v>
      </c>
    </row>
    <row r="203" spans="1:12" x14ac:dyDescent="0.2">
      <c r="A203" s="111" t="s">
        <v>284</v>
      </c>
      <c r="B203" s="132">
        <v>32</v>
      </c>
      <c r="C203" s="111">
        <v>175.26</v>
      </c>
      <c r="D203" s="111">
        <v>70.306759999999997</v>
      </c>
      <c r="E203" s="111">
        <v>76</v>
      </c>
      <c r="F203" s="111">
        <v>1</v>
      </c>
      <c r="G203" s="133">
        <v>0</v>
      </c>
      <c r="H203" s="111">
        <v>47</v>
      </c>
      <c r="I203" s="111">
        <v>3</v>
      </c>
      <c r="J203" s="111">
        <v>0</v>
      </c>
      <c r="K203" s="111">
        <v>0</v>
      </c>
      <c r="L203">
        <v>0</v>
      </c>
    </row>
    <row r="204" spans="1:12" x14ac:dyDescent="0.2">
      <c r="A204" s="111" t="s">
        <v>285</v>
      </c>
      <c r="B204" s="132">
        <v>34</v>
      </c>
      <c r="C204" s="111">
        <v>167.64</v>
      </c>
      <c r="D204" s="111">
        <v>61.234920000000002</v>
      </c>
      <c r="E204" s="111">
        <v>68</v>
      </c>
      <c r="F204" s="111">
        <v>3</v>
      </c>
      <c r="G204" s="133">
        <v>0.66666666666666663</v>
      </c>
      <c r="H204" s="111">
        <v>25</v>
      </c>
      <c r="I204" s="111">
        <v>1.3333333333333333</v>
      </c>
      <c r="J204" s="111">
        <v>1.3333333333333333</v>
      </c>
      <c r="K204" s="111">
        <v>3</v>
      </c>
      <c r="L204">
        <v>1</v>
      </c>
    </row>
    <row r="205" spans="1:12" x14ac:dyDescent="0.2">
      <c r="A205" s="111" t="s">
        <v>286</v>
      </c>
      <c r="B205" s="132">
        <v>29</v>
      </c>
      <c r="C205" s="111">
        <v>185.42</v>
      </c>
      <c r="D205" s="111">
        <v>77.110640000000004</v>
      </c>
      <c r="E205" s="111">
        <v>75</v>
      </c>
      <c r="F205" s="111">
        <v>6</v>
      </c>
      <c r="G205" s="133">
        <v>0.66666666666666663</v>
      </c>
      <c r="H205" s="111">
        <v>30.333333333333332</v>
      </c>
      <c r="I205" s="111">
        <v>2</v>
      </c>
      <c r="J205" s="111">
        <v>0.33333333333333331</v>
      </c>
      <c r="K205" s="111">
        <v>1.3333333333333333</v>
      </c>
      <c r="L205">
        <v>0</v>
      </c>
    </row>
    <row r="206" spans="1:12" x14ac:dyDescent="0.2">
      <c r="A206" s="111" t="s">
        <v>287</v>
      </c>
      <c r="B206" s="132">
        <v>25</v>
      </c>
      <c r="C206" s="111">
        <v>180.34</v>
      </c>
      <c r="D206" s="111">
        <v>70.306759999999997</v>
      </c>
      <c r="E206" s="111">
        <v>71</v>
      </c>
      <c r="F206" s="111">
        <v>1</v>
      </c>
      <c r="G206" s="133">
        <v>0</v>
      </c>
      <c r="H206" s="111">
        <v>16</v>
      </c>
      <c r="I206" s="111">
        <v>3</v>
      </c>
      <c r="J206" s="111">
        <v>0</v>
      </c>
      <c r="K206" s="111">
        <v>0</v>
      </c>
      <c r="L206">
        <v>0</v>
      </c>
    </row>
    <row r="207" spans="1:12" x14ac:dyDescent="0.2">
      <c r="A207" s="111" t="s">
        <v>288</v>
      </c>
      <c r="B207" s="132">
        <v>31</v>
      </c>
      <c r="C207" s="111">
        <v>185.42</v>
      </c>
      <c r="D207" s="111">
        <v>83.914519999999996</v>
      </c>
      <c r="E207" s="111">
        <v>78</v>
      </c>
      <c r="F207" s="111">
        <v>7</v>
      </c>
      <c r="G207" s="133">
        <v>0.5714285714285714</v>
      </c>
      <c r="H207" s="111">
        <v>14.714285714285714</v>
      </c>
      <c r="I207" s="111">
        <v>0.8571428571428571</v>
      </c>
      <c r="J207" s="111">
        <v>0.14285714285714285</v>
      </c>
      <c r="K207" s="111">
        <v>1</v>
      </c>
      <c r="L207">
        <v>1</v>
      </c>
    </row>
    <row r="208" spans="1:12" x14ac:dyDescent="0.2">
      <c r="A208" s="111" t="s">
        <v>289</v>
      </c>
      <c r="B208" s="132">
        <v>38</v>
      </c>
      <c r="C208" s="111">
        <v>185.42</v>
      </c>
      <c r="D208" s="111">
        <v>92.986360000000005</v>
      </c>
      <c r="E208" s="111">
        <v>73</v>
      </c>
      <c r="F208" s="111">
        <v>2</v>
      </c>
      <c r="G208" s="133">
        <v>0</v>
      </c>
      <c r="H208" s="111">
        <v>1</v>
      </c>
      <c r="I208" s="111">
        <v>0.5</v>
      </c>
      <c r="J208" s="111">
        <v>0</v>
      </c>
      <c r="K208" s="111">
        <v>0</v>
      </c>
      <c r="L208">
        <v>0</v>
      </c>
    </row>
    <row r="209" spans="1:12" x14ac:dyDescent="0.2">
      <c r="A209" s="111" t="s">
        <v>290</v>
      </c>
      <c r="B209" s="132">
        <v>30</v>
      </c>
      <c r="C209" s="111">
        <v>177.8</v>
      </c>
      <c r="D209" s="111">
        <v>70.306759999999997</v>
      </c>
      <c r="E209" s="111">
        <v>71</v>
      </c>
      <c r="F209" s="111">
        <v>4</v>
      </c>
      <c r="G209" s="133">
        <v>0.75</v>
      </c>
      <c r="H209" s="111">
        <v>49.5</v>
      </c>
      <c r="I209" s="111">
        <v>1</v>
      </c>
      <c r="J209" s="111">
        <v>0</v>
      </c>
      <c r="K209" s="111">
        <v>1.25</v>
      </c>
      <c r="L209">
        <v>0</v>
      </c>
    </row>
    <row r="210" spans="1:12" x14ac:dyDescent="0.2">
      <c r="A210" s="111" t="s">
        <v>291</v>
      </c>
      <c r="B210" s="132">
        <v>31</v>
      </c>
      <c r="C210" s="111">
        <v>167.64</v>
      </c>
      <c r="D210" s="111">
        <v>65.770840000000007</v>
      </c>
      <c r="E210" s="111">
        <v>66</v>
      </c>
      <c r="F210" s="111">
        <v>12</v>
      </c>
      <c r="G210" s="133">
        <v>0.66666666666666663</v>
      </c>
      <c r="H210" s="111">
        <v>28</v>
      </c>
      <c r="I210" s="111">
        <v>2</v>
      </c>
      <c r="J210" s="111">
        <v>0.16666666666666666</v>
      </c>
      <c r="K210" s="111">
        <v>0.5</v>
      </c>
      <c r="L210">
        <v>0</v>
      </c>
    </row>
    <row r="211" spans="1:12" x14ac:dyDescent="0.2">
      <c r="A211" s="111" t="s">
        <v>292</v>
      </c>
      <c r="B211" s="132" t="s">
        <v>1596</v>
      </c>
      <c r="C211" s="111">
        <v>180.34</v>
      </c>
      <c r="D211" s="111">
        <v>77.110640000000004</v>
      </c>
      <c r="E211" s="111">
        <v>72.837137999999996</v>
      </c>
      <c r="F211" s="111">
        <v>2</v>
      </c>
      <c r="G211" s="133">
        <v>0</v>
      </c>
      <c r="H211" s="111">
        <v>4</v>
      </c>
      <c r="I211" s="111">
        <v>0.5</v>
      </c>
      <c r="J211" s="111">
        <v>1</v>
      </c>
      <c r="K211" s="111">
        <v>0.5</v>
      </c>
      <c r="L211">
        <v>0</v>
      </c>
    </row>
    <row r="212" spans="1:12" x14ac:dyDescent="0.2">
      <c r="A212" s="111" t="s">
        <v>293</v>
      </c>
      <c r="B212" s="132">
        <v>39</v>
      </c>
      <c r="C212" s="111">
        <v>185.42</v>
      </c>
      <c r="D212" s="111">
        <v>92.986360000000005</v>
      </c>
      <c r="E212" s="111">
        <v>74</v>
      </c>
      <c r="F212" s="111">
        <v>14</v>
      </c>
      <c r="G212" s="133">
        <v>0.5</v>
      </c>
      <c r="H212" s="111">
        <v>29.285714285714285</v>
      </c>
      <c r="I212" s="111">
        <v>2.6428571428571428</v>
      </c>
      <c r="J212" s="111">
        <v>0.2857142857142857</v>
      </c>
      <c r="K212" s="111">
        <v>2.2857142857142856</v>
      </c>
      <c r="L212">
        <v>1</v>
      </c>
    </row>
    <row r="213" spans="1:12" x14ac:dyDescent="0.2">
      <c r="A213" s="111" t="s">
        <v>294</v>
      </c>
      <c r="B213" s="132">
        <v>29</v>
      </c>
      <c r="C213" s="111">
        <v>170.18</v>
      </c>
      <c r="D213" s="111">
        <v>65.770840000000007</v>
      </c>
      <c r="E213" s="111">
        <v>74</v>
      </c>
      <c r="F213" s="111">
        <v>4</v>
      </c>
      <c r="G213" s="133">
        <v>0.75</v>
      </c>
      <c r="H213" s="111">
        <v>31.75</v>
      </c>
      <c r="I213" s="111">
        <v>1.25</v>
      </c>
      <c r="J213" s="111">
        <v>1</v>
      </c>
      <c r="K213" s="111">
        <v>1.75</v>
      </c>
      <c r="L213">
        <v>0</v>
      </c>
    </row>
    <row r="214" spans="1:12" x14ac:dyDescent="0.2">
      <c r="A214" s="111" t="s">
        <v>295</v>
      </c>
      <c r="B214" s="132">
        <v>36</v>
      </c>
      <c r="C214" s="111">
        <v>177.8</v>
      </c>
      <c r="D214" s="111">
        <v>83.914519999999996</v>
      </c>
      <c r="E214" s="111">
        <v>71</v>
      </c>
      <c r="F214" s="111">
        <v>3</v>
      </c>
      <c r="G214" s="133">
        <v>0.33333333333333331</v>
      </c>
      <c r="H214" s="111">
        <v>1</v>
      </c>
      <c r="I214" s="111">
        <v>1</v>
      </c>
      <c r="J214" s="111">
        <v>1</v>
      </c>
      <c r="K214" s="111">
        <v>1</v>
      </c>
      <c r="L214">
        <v>0</v>
      </c>
    </row>
    <row r="215" spans="1:12" x14ac:dyDescent="0.2">
      <c r="A215" s="111" t="s">
        <v>296</v>
      </c>
      <c r="B215" s="132">
        <v>27</v>
      </c>
      <c r="C215" s="111">
        <v>177.8</v>
      </c>
      <c r="D215" s="111">
        <v>65.770840000000007</v>
      </c>
      <c r="E215" s="111">
        <v>74</v>
      </c>
      <c r="F215" s="111">
        <v>15</v>
      </c>
      <c r="G215" s="133">
        <v>0.6</v>
      </c>
      <c r="H215" s="111">
        <v>21.533333333333335</v>
      </c>
      <c r="I215" s="111">
        <v>1.1333333333333333</v>
      </c>
      <c r="J215" s="111">
        <v>1.2666666666666666</v>
      </c>
      <c r="K215" s="111">
        <v>0.8666666666666667</v>
      </c>
      <c r="L215">
        <v>0</v>
      </c>
    </row>
    <row r="216" spans="1:12" x14ac:dyDescent="0.2">
      <c r="A216" s="111" t="s">
        <v>297</v>
      </c>
      <c r="B216" s="132">
        <v>30</v>
      </c>
      <c r="C216" s="111">
        <v>175.26</v>
      </c>
      <c r="D216" s="111">
        <v>65.770840000000007</v>
      </c>
      <c r="E216" s="111">
        <v>69</v>
      </c>
      <c r="F216" s="111">
        <v>4</v>
      </c>
      <c r="G216" s="133">
        <v>0.5</v>
      </c>
      <c r="H216" s="111">
        <v>47.5</v>
      </c>
      <c r="I216" s="111">
        <v>3.25</v>
      </c>
      <c r="J216" s="111">
        <v>1.25</v>
      </c>
      <c r="K216" s="111">
        <v>3.75</v>
      </c>
      <c r="L216">
        <v>0</v>
      </c>
    </row>
    <row r="217" spans="1:12" x14ac:dyDescent="0.2">
      <c r="A217" s="111" t="s">
        <v>298</v>
      </c>
      <c r="B217" s="132">
        <v>35</v>
      </c>
      <c r="C217" s="111">
        <v>177.8</v>
      </c>
      <c r="D217" s="111">
        <v>70.306759999999997</v>
      </c>
      <c r="E217" s="111">
        <v>72</v>
      </c>
      <c r="F217" s="111">
        <v>11</v>
      </c>
      <c r="G217" s="133">
        <v>0.36363636363636365</v>
      </c>
      <c r="H217" s="111">
        <v>11.727272727272727</v>
      </c>
      <c r="I217" s="111">
        <v>2.1818181818181817</v>
      </c>
      <c r="J217" s="111">
        <v>0</v>
      </c>
      <c r="K217" s="111">
        <v>2.5454545454545454</v>
      </c>
      <c r="L217">
        <v>0</v>
      </c>
    </row>
    <row r="218" spans="1:12" x14ac:dyDescent="0.2">
      <c r="A218" s="111" t="s">
        <v>299</v>
      </c>
      <c r="B218" s="132">
        <v>42</v>
      </c>
      <c r="C218" s="111">
        <v>160.02000000000001</v>
      </c>
      <c r="D218" s="111">
        <v>61.234920000000002</v>
      </c>
      <c r="E218" s="111">
        <v>64</v>
      </c>
      <c r="F218" s="111">
        <v>1</v>
      </c>
      <c r="G218" s="133">
        <v>0</v>
      </c>
      <c r="H218" s="111">
        <v>5</v>
      </c>
      <c r="I218" s="111">
        <v>0</v>
      </c>
      <c r="J218" s="111">
        <v>0</v>
      </c>
      <c r="K218" s="111">
        <v>0</v>
      </c>
      <c r="L218">
        <v>0</v>
      </c>
    </row>
    <row r="219" spans="1:12" x14ac:dyDescent="0.2">
      <c r="A219" s="111" t="s">
        <v>300</v>
      </c>
      <c r="B219" s="132">
        <v>31</v>
      </c>
      <c r="C219" s="111">
        <v>180.34</v>
      </c>
      <c r="D219" s="111">
        <v>65.770840000000007</v>
      </c>
      <c r="E219" s="111">
        <v>72</v>
      </c>
      <c r="F219" s="111">
        <v>5</v>
      </c>
      <c r="G219" s="133">
        <v>0.8</v>
      </c>
      <c r="H219" s="111">
        <v>16.600000000000001</v>
      </c>
      <c r="I219" s="111">
        <v>1.4</v>
      </c>
      <c r="J219" s="111">
        <v>2</v>
      </c>
      <c r="K219" s="111">
        <v>3.2</v>
      </c>
      <c r="L219">
        <v>0</v>
      </c>
    </row>
    <row r="220" spans="1:12" x14ac:dyDescent="0.2">
      <c r="A220" s="111" t="s">
        <v>301</v>
      </c>
      <c r="B220" s="132" t="s">
        <v>1596</v>
      </c>
      <c r="C220" s="111">
        <v>190.5</v>
      </c>
      <c r="D220" s="111">
        <v>120.20188</v>
      </c>
      <c r="E220" s="111">
        <v>76.85745</v>
      </c>
      <c r="F220" s="111">
        <v>2</v>
      </c>
      <c r="G220" s="133">
        <v>0</v>
      </c>
      <c r="H220" s="111">
        <v>5</v>
      </c>
      <c r="I220" s="111">
        <v>0.5</v>
      </c>
      <c r="J220" s="111">
        <v>0.5</v>
      </c>
      <c r="K220" s="111">
        <v>0</v>
      </c>
      <c r="L220">
        <v>0</v>
      </c>
    </row>
    <row r="221" spans="1:12" x14ac:dyDescent="0.2">
      <c r="A221" s="111" t="s">
        <v>302</v>
      </c>
      <c r="B221" s="132">
        <v>34</v>
      </c>
      <c r="C221" s="111">
        <v>185.42</v>
      </c>
      <c r="D221" s="111">
        <v>77.110640000000004</v>
      </c>
      <c r="E221" s="111">
        <v>76</v>
      </c>
      <c r="F221" s="111">
        <v>4</v>
      </c>
      <c r="G221" s="133">
        <v>0.5</v>
      </c>
      <c r="H221" s="111">
        <v>12</v>
      </c>
      <c r="I221" s="111">
        <v>1.75</v>
      </c>
      <c r="J221" s="111">
        <v>0</v>
      </c>
      <c r="K221" s="111">
        <v>2.25</v>
      </c>
      <c r="L221">
        <v>0</v>
      </c>
    </row>
    <row r="222" spans="1:12" x14ac:dyDescent="0.2">
      <c r="A222" s="111" t="s">
        <v>303</v>
      </c>
      <c r="B222" s="132">
        <v>41</v>
      </c>
      <c r="C222" s="111">
        <v>193.04</v>
      </c>
      <c r="D222" s="111">
        <v>108.86208000000001</v>
      </c>
      <c r="E222" s="111">
        <v>82</v>
      </c>
      <c r="F222" s="111">
        <v>18</v>
      </c>
      <c r="G222" s="133">
        <v>0.61111111111111116</v>
      </c>
      <c r="H222" s="111">
        <v>31.888888888888889</v>
      </c>
      <c r="I222" s="111">
        <v>1.3333333333333333</v>
      </c>
      <c r="J222" s="111">
        <v>0.16666666666666666</v>
      </c>
      <c r="K222" s="111">
        <v>0.66666666666666663</v>
      </c>
      <c r="L222">
        <v>0</v>
      </c>
    </row>
    <row r="223" spans="1:12" x14ac:dyDescent="0.2">
      <c r="A223" s="111" t="s">
        <v>304</v>
      </c>
      <c r="B223" s="132">
        <v>31</v>
      </c>
      <c r="C223" s="111">
        <v>167.64</v>
      </c>
      <c r="D223" s="111">
        <v>56.698999999999998</v>
      </c>
      <c r="E223" s="111">
        <v>66</v>
      </c>
      <c r="F223" s="111">
        <v>8</v>
      </c>
      <c r="G223" s="133">
        <v>0.375</v>
      </c>
      <c r="H223" s="111">
        <v>37.75</v>
      </c>
      <c r="I223" s="111">
        <v>0.75</v>
      </c>
      <c r="J223" s="111">
        <v>0.375</v>
      </c>
      <c r="K223" s="111">
        <v>2.125</v>
      </c>
      <c r="L223">
        <v>0</v>
      </c>
    </row>
    <row r="224" spans="1:12" x14ac:dyDescent="0.2">
      <c r="A224" s="111" t="s">
        <v>305</v>
      </c>
      <c r="B224" s="132">
        <v>31</v>
      </c>
      <c r="C224" s="111">
        <v>170.18</v>
      </c>
      <c r="D224" s="111">
        <v>56.698999999999998</v>
      </c>
      <c r="E224" s="111">
        <v>69</v>
      </c>
      <c r="F224" s="111">
        <v>4</v>
      </c>
      <c r="G224" s="133">
        <v>0.5</v>
      </c>
      <c r="H224" s="111">
        <v>37.5</v>
      </c>
      <c r="I224" s="111">
        <v>1.75</v>
      </c>
      <c r="J224" s="111">
        <v>0.25</v>
      </c>
      <c r="K224" s="111">
        <v>3.25</v>
      </c>
      <c r="L224">
        <v>0</v>
      </c>
    </row>
    <row r="225" spans="1:12" x14ac:dyDescent="0.2">
      <c r="A225" s="111" t="s">
        <v>306</v>
      </c>
      <c r="B225" s="132">
        <v>45</v>
      </c>
      <c r="C225" s="111">
        <v>172.72</v>
      </c>
      <c r="D225" s="111">
        <v>77.110640000000004</v>
      </c>
      <c r="E225" s="111">
        <v>69.821904000000004</v>
      </c>
      <c r="F225" s="111">
        <v>2</v>
      </c>
      <c r="G225" s="133">
        <v>0</v>
      </c>
      <c r="H225" s="111">
        <v>5</v>
      </c>
      <c r="I225" s="111">
        <v>0.5</v>
      </c>
      <c r="J225" s="111">
        <v>1</v>
      </c>
      <c r="K225" s="111">
        <v>0.5</v>
      </c>
      <c r="L225">
        <v>0</v>
      </c>
    </row>
    <row r="226" spans="1:12" x14ac:dyDescent="0.2">
      <c r="A226" s="111" t="s">
        <v>307</v>
      </c>
      <c r="B226" s="132">
        <v>30</v>
      </c>
      <c r="C226" s="111">
        <v>187.96</v>
      </c>
      <c r="D226" s="111">
        <v>83.914519999999996</v>
      </c>
      <c r="E226" s="111">
        <v>76</v>
      </c>
      <c r="F226" s="111">
        <v>15</v>
      </c>
      <c r="G226" s="133">
        <v>0.53333333333333333</v>
      </c>
      <c r="H226" s="111">
        <v>45.533333333333331</v>
      </c>
      <c r="I226" s="111">
        <v>0.2</v>
      </c>
      <c r="J226" s="111">
        <v>0.4</v>
      </c>
      <c r="K226" s="111">
        <v>0.26666666666666666</v>
      </c>
      <c r="L226">
        <v>0</v>
      </c>
    </row>
    <row r="227" spans="1:12" x14ac:dyDescent="0.2">
      <c r="A227" s="111" t="s">
        <v>308</v>
      </c>
      <c r="B227" s="132">
        <v>35</v>
      </c>
      <c r="C227" s="111">
        <v>160.02000000000001</v>
      </c>
      <c r="D227" s="111">
        <v>56.698999999999998</v>
      </c>
      <c r="E227" s="111">
        <v>63</v>
      </c>
      <c r="F227" s="111">
        <v>13</v>
      </c>
      <c r="G227" s="133">
        <v>0.53846153846153844</v>
      </c>
      <c r="H227" s="111">
        <v>45.46153846153846</v>
      </c>
      <c r="I227" s="111">
        <v>0.76923076923076927</v>
      </c>
      <c r="J227" s="111">
        <v>0.53846153846153844</v>
      </c>
      <c r="K227" s="111">
        <v>1.4615384615384615</v>
      </c>
      <c r="L227">
        <v>1</v>
      </c>
    </row>
    <row r="228" spans="1:12" x14ac:dyDescent="0.2">
      <c r="A228" s="111" t="s">
        <v>309</v>
      </c>
      <c r="B228" s="132">
        <v>40</v>
      </c>
      <c r="C228" s="111">
        <v>177.8</v>
      </c>
      <c r="D228" s="111">
        <v>77.110640000000004</v>
      </c>
      <c r="E228" s="111">
        <v>70</v>
      </c>
      <c r="F228" s="111">
        <v>5</v>
      </c>
      <c r="G228" s="133">
        <v>0.4</v>
      </c>
      <c r="H228" s="111">
        <v>31</v>
      </c>
      <c r="I228" s="111">
        <v>1</v>
      </c>
      <c r="J228" s="111">
        <v>0.4</v>
      </c>
      <c r="K228" s="111">
        <v>0.8</v>
      </c>
      <c r="L228">
        <v>0</v>
      </c>
    </row>
    <row r="229" spans="1:12" x14ac:dyDescent="0.2">
      <c r="A229" s="111" t="s">
        <v>310</v>
      </c>
      <c r="B229" s="132" t="s">
        <v>1596</v>
      </c>
      <c r="C229" s="111">
        <v>182.88</v>
      </c>
      <c r="D229" s="111">
        <v>151.95331999999999</v>
      </c>
      <c r="E229" s="111">
        <v>73.842215999999993</v>
      </c>
      <c r="F229" s="111">
        <v>1</v>
      </c>
      <c r="G229" s="133">
        <v>0</v>
      </c>
      <c r="H229" s="111">
        <v>0</v>
      </c>
      <c r="I229" s="111">
        <v>0</v>
      </c>
      <c r="J229" s="111">
        <v>0</v>
      </c>
      <c r="K229" s="111">
        <v>0</v>
      </c>
      <c r="L229">
        <v>0</v>
      </c>
    </row>
    <row r="230" spans="1:12" x14ac:dyDescent="0.2">
      <c r="A230" s="111" t="s">
        <v>311</v>
      </c>
      <c r="B230" s="132">
        <v>33</v>
      </c>
      <c r="C230" s="111">
        <v>182.88</v>
      </c>
      <c r="D230" s="111">
        <v>77.110640000000004</v>
      </c>
      <c r="E230" s="111">
        <v>72</v>
      </c>
      <c r="F230" s="111">
        <v>3</v>
      </c>
      <c r="G230" s="133">
        <v>0.33333333333333331</v>
      </c>
      <c r="H230" s="111">
        <v>29</v>
      </c>
      <c r="I230" s="111">
        <v>0</v>
      </c>
      <c r="J230" s="111">
        <v>0</v>
      </c>
      <c r="K230" s="111">
        <v>0</v>
      </c>
      <c r="L230">
        <v>0</v>
      </c>
    </row>
    <row r="231" spans="1:12" x14ac:dyDescent="0.2">
      <c r="A231" s="111" t="s">
        <v>312</v>
      </c>
      <c r="B231" s="132" t="s">
        <v>1596</v>
      </c>
      <c r="C231" s="111">
        <v>190.5</v>
      </c>
      <c r="D231" s="111">
        <v>113.398</v>
      </c>
      <c r="E231" s="111">
        <v>80</v>
      </c>
      <c r="F231" s="111">
        <v>1</v>
      </c>
      <c r="G231" s="133">
        <v>0</v>
      </c>
      <c r="H231" s="111">
        <v>1</v>
      </c>
      <c r="I231" s="111">
        <v>0</v>
      </c>
      <c r="J231" s="111">
        <v>0</v>
      </c>
      <c r="K231" s="111">
        <v>0</v>
      </c>
      <c r="L231">
        <v>0</v>
      </c>
    </row>
    <row r="232" spans="1:12" x14ac:dyDescent="0.2">
      <c r="A232" s="111" t="s">
        <v>313</v>
      </c>
      <c r="B232" s="132">
        <v>29</v>
      </c>
      <c r="C232" s="111">
        <v>177.8</v>
      </c>
      <c r="D232" s="111">
        <v>83.914519999999996</v>
      </c>
      <c r="E232" s="111">
        <v>72</v>
      </c>
      <c r="F232" s="111">
        <v>3</v>
      </c>
      <c r="G232" s="133">
        <v>0.33333333333333331</v>
      </c>
      <c r="H232" s="111">
        <v>15</v>
      </c>
      <c r="I232" s="111">
        <v>1</v>
      </c>
      <c r="J232" s="111">
        <v>0</v>
      </c>
      <c r="K232" s="111">
        <v>0.66666666666666663</v>
      </c>
      <c r="L232">
        <v>0</v>
      </c>
    </row>
    <row r="233" spans="1:12" x14ac:dyDescent="0.2">
      <c r="A233" s="111" t="s">
        <v>314</v>
      </c>
      <c r="B233" s="132">
        <v>30</v>
      </c>
      <c r="C233" s="111">
        <v>172.72</v>
      </c>
      <c r="D233" s="111">
        <v>70.306759999999997</v>
      </c>
      <c r="E233" s="111">
        <v>69</v>
      </c>
      <c r="F233" s="111">
        <v>1</v>
      </c>
      <c r="G233" s="133">
        <v>1</v>
      </c>
      <c r="H233" s="111">
        <v>103</v>
      </c>
      <c r="I233" s="111">
        <v>0</v>
      </c>
      <c r="J233" s="111">
        <v>0</v>
      </c>
      <c r="K233" s="111">
        <v>0</v>
      </c>
      <c r="L233">
        <v>0</v>
      </c>
    </row>
    <row r="234" spans="1:12" x14ac:dyDescent="0.2">
      <c r="A234" s="111" t="s">
        <v>315</v>
      </c>
      <c r="B234" s="132">
        <v>47</v>
      </c>
      <c r="C234" s="111">
        <v>180.34</v>
      </c>
      <c r="D234" s="111">
        <v>92.986360000000005</v>
      </c>
      <c r="E234" s="111">
        <v>72.837137999999996</v>
      </c>
      <c r="F234" s="111">
        <v>1</v>
      </c>
      <c r="G234" s="133">
        <v>0</v>
      </c>
      <c r="H234" s="111">
        <v>14</v>
      </c>
      <c r="I234" s="111">
        <v>0</v>
      </c>
      <c r="J234" s="111">
        <v>2</v>
      </c>
      <c r="K234" s="111">
        <v>0</v>
      </c>
      <c r="L234">
        <v>0</v>
      </c>
    </row>
    <row r="235" spans="1:12" x14ac:dyDescent="0.2">
      <c r="A235" s="111" t="s">
        <v>316</v>
      </c>
      <c r="B235" s="132" t="s">
        <v>1596</v>
      </c>
      <c r="C235" s="111">
        <v>175.26</v>
      </c>
      <c r="D235" s="111">
        <v>70.306759999999997</v>
      </c>
      <c r="E235" s="111">
        <v>68</v>
      </c>
      <c r="F235" s="111">
        <v>2</v>
      </c>
      <c r="G235" s="133">
        <v>0</v>
      </c>
      <c r="H235" s="111">
        <v>6</v>
      </c>
      <c r="I235" s="111">
        <v>1</v>
      </c>
      <c r="J235" s="111">
        <v>0</v>
      </c>
      <c r="K235" s="111">
        <v>1.5</v>
      </c>
      <c r="L235">
        <v>0</v>
      </c>
    </row>
    <row r="236" spans="1:12" x14ac:dyDescent="0.2">
      <c r="A236" s="111" t="s">
        <v>317</v>
      </c>
      <c r="B236" s="132">
        <v>29</v>
      </c>
      <c r="C236" s="111">
        <v>180.34</v>
      </c>
      <c r="D236" s="111">
        <v>61.234920000000002</v>
      </c>
      <c r="E236" s="111">
        <v>71</v>
      </c>
      <c r="F236" s="111">
        <v>2</v>
      </c>
      <c r="G236" s="133">
        <v>1</v>
      </c>
      <c r="H236" s="111">
        <v>20.5</v>
      </c>
      <c r="I236" s="111">
        <v>2.5</v>
      </c>
      <c r="J236" s="111">
        <v>1.5</v>
      </c>
      <c r="K236" s="111">
        <v>7.5</v>
      </c>
      <c r="L236">
        <v>0</v>
      </c>
    </row>
    <row r="237" spans="1:12" x14ac:dyDescent="0.2">
      <c r="A237" s="111" t="s">
        <v>318</v>
      </c>
      <c r="B237" s="132">
        <v>29</v>
      </c>
      <c r="C237" s="111">
        <v>177.8</v>
      </c>
      <c r="D237" s="111">
        <v>77.110640000000004</v>
      </c>
      <c r="E237" s="111">
        <v>73</v>
      </c>
      <c r="F237" s="111">
        <v>2</v>
      </c>
      <c r="G237" s="133">
        <v>0</v>
      </c>
      <c r="H237" s="111">
        <v>13</v>
      </c>
      <c r="I237" s="111">
        <v>0.5</v>
      </c>
      <c r="J237" s="111">
        <v>1</v>
      </c>
      <c r="K237" s="111">
        <v>0</v>
      </c>
      <c r="L237">
        <v>0</v>
      </c>
    </row>
    <row r="238" spans="1:12" x14ac:dyDescent="0.2">
      <c r="A238" s="111" t="s">
        <v>319</v>
      </c>
      <c r="B238" s="132">
        <v>35</v>
      </c>
      <c r="C238" s="111">
        <v>170.18</v>
      </c>
      <c r="D238" s="111">
        <v>56.698999999999998</v>
      </c>
      <c r="E238" s="111">
        <v>68</v>
      </c>
      <c r="F238" s="111">
        <v>3</v>
      </c>
      <c r="G238" s="133">
        <v>0.66666666666666663</v>
      </c>
      <c r="H238" s="111">
        <v>34.666666666666664</v>
      </c>
      <c r="I238" s="111">
        <v>1</v>
      </c>
      <c r="J238" s="111">
        <v>0.33333333333333331</v>
      </c>
      <c r="K238" s="111">
        <v>2.3333333333333335</v>
      </c>
      <c r="L238">
        <v>0</v>
      </c>
    </row>
    <row r="239" spans="1:12" x14ac:dyDescent="0.2">
      <c r="A239" s="111" t="s">
        <v>320</v>
      </c>
      <c r="B239" s="132">
        <v>36</v>
      </c>
      <c r="C239" s="111">
        <v>180.34</v>
      </c>
      <c r="D239" s="111">
        <v>83.914519999999996</v>
      </c>
      <c r="E239" s="111">
        <v>74</v>
      </c>
      <c r="F239" s="111">
        <v>22</v>
      </c>
      <c r="G239" s="133">
        <v>0.54545454545454541</v>
      </c>
      <c r="H239" s="111">
        <v>26</v>
      </c>
      <c r="I239" s="111">
        <v>0.77272727272727271</v>
      </c>
      <c r="J239" s="111">
        <v>0.45454545454545453</v>
      </c>
      <c r="K239" s="111">
        <v>1</v>
      </c>
      <c r="L239">
        <v>1</v>
      </c>
    </row>
    <row r="240" spans="1:12" x14ac:dyDescent="0.2">
      <c r="A240" s="111" t="s">
        <v>321</v>
      </c>
      <c r="B240" s="132" t="s">
        <v>1596</v>
      </c>
      <c r="C240" s="111">
        <v>175.26</v>
      </c>
      <c r="D240" s="111">
        <v>83.914519999999996</v>
      </c>
      <c r="E240" s="111">
        <v>70.826982000000001</v>
      </c>
      <c r="F240" s="111">
        <v>1</v>
      </c>
      <c r="G240" s="133">
        <v>0</v>
      </c>
      <c r="H240" s="111">
        <v>1</v>
      </c>
      <c r="I240" s="111">
        <v>0</v>
      </c>
      <c r="J240" s="111">
        <v>0</v>
      </c>
      <c r="K240" s="111">
        <v>0</v>
      </c>
      <c r="L240">
        <v>0</v>
      </c>
    </row>
    <row r="241" spans="1:12" x14ac:dyDescent="0.2">
      <c r="A241" s="111" t="s">
        <v>322</v>
      </c>
      <c r="B241" s="132">
        <v>42</v>
      </c>
      <c r="C241" s="111">
        <v>180.34</v>
      </c>
      <c r="D241" s="111">
        <v>77.110640000000004</v>
      </c>
      <c r="E241" s="111">
        <v>68</v>
      </c>
      <c r="F241" s="111">
        <v>20</v>
      </c>
      <c r="G241" s="133">
        <v>0.5</v>
      </c>
      <c r="H241" s="111">
        <v>40.9</v>
      </c>
      <c r="I241" s="111">
        <v>0.45</v>
      </c>
      <c r="J241" s="111">
        <v>1.55</v>
      </c>
      <c r="K241" s="111">
        <v>0.75</v>
      </c>
      <c r="L241">
        <v>0</v>
      </c>
    </row>
    <row r="242" spans="1:12" x14ac:dyDescent="0.2">
      <c r="A242" s="111" t="s">
        <v>323</v>
      </c>
      <c r="B242" s="132" t="s">
        <v>1596</v>
      </c>
      <c r="C242" s="111">
        <v>187.96</v>
      </c>
      <c r="D242" s="111">
        <v>83.914519999999996</v>
      </c>
      <c r="E242" s="111">
        <v>75.852372000000003</v>
      </c>
      <c r="F242" s="111">
        <v>2</v>
      </c>
      <c r="G242" s="133">
        <v>0</v>
      </c>
      <c r="H242" s="111">
        <v>5</v>
      </c>
      <c r="I242" s="111">
        <v>0</v>
      </c>
      <c r="J242" s="111">
        <v>0.5</v>
      </c>
      <c r="K242" s="111">
        <v>0</v>
      </c>
      <c r="L242">
        <v>1</v>
      </c>
    </row>
    <row r="243" spans="1:12" x14ac:dyDescent="0.2">
      <c r="A243" s="111" t="s">
        <v>324</v>
      </c>
      <c r="B243" s="132" t="s">
        <v>1596</v>
      </c>
      <c r="C243" s="111">
        <v>180.34</v>
      </c>
      <c r="D243" s="111">
        <v>83.914519999999996</v>
      </c>
      <c r="E243" s="111">
        <v>72.837137999999996</v>
      </c>
      <c r="F243" s="111">
        <v>1</v>
      </c>
      <c r="G243" s="133">
        <v>0</v>
      </c>
      <c r="H243" s="111">
        <v>1</v>
      </c>
      <c r="I243" s="111">
        <v>0</v>
      </c>
      <c r="J243" s="111">
        <v>1</v>
      </c>
      <c r="K243" s="111">
        <v>0</v>
      </c>
      <c r="L243">
        <v>0</v>
      </c>
    </row>
    <row r="244" spans="1:12" x14ac:dyDescent="0.2">
      <c r="A244" s="111" t="s">
        <v>325</v>
      </c>
      <c r="B244" s="132">
        <v>30</v>
      </c>
      <c r="C244" s="111">
        <v>172.72</v>
      </c>
      <c r="D244" s="111">
        <v>70.306759999999997</v>
      </c>
      <c r="E244" s="111">
        <v>69.821904000000004</v>
      </c>
      <c r="F244" s="111">
        <v>1</v>
      </c>
      <c r="G244" s="133">
        <v>0</v>
      </c>
      <c r="H244" s="111">
        <v>6</v>
      </c>
      <c r="I244" s="111">
        <v>1</v>
      </c>
      <c r="J244" s="111">
        <v>0</v>
      </c>
      <c r="K244" s="111">
        <v>0</v>
      </c>
      <c r="L244">
        <v>0</v>
      </c>
    </row>
    <row r="245" spans="1:12" x14ac:dyDescent="0.2">
      <c r="A245" s="111" t="s">
        <v>326</v>
      </c>
      <c r="B245" s="132">
        <v>29</v>
      </c>
      <c r="C245" s="111">
        <v>187.96</v>
      </c>
      <c r="D245" s="111">
        <v>77.110640000000004</v>
      </c>
      <c r="E245" s="111">
        <v>75.852372000000003</v>
      </c>
      <c r="F245" s="111">
        <v>1</v>
      </c>
      <c r="G245" s="133">
        <v>0</v>
      </c>
      <c r="H245" s="111">
        <v>5</v>
      </c>
      <c r="I245" s="111">
        <v>0</v>
      </c>
      <c r="J245" s="111">
        <v>0</v>
      </c>
      <c r="K245" s="111">
        <v>0</v>
      </c>
      <c r="L245">
        <v>0</v>
      </c>
    </row>
    <row r="246" spans="1:12" x14ac:dyDescent="0.2">
      <c r="A246" s="111" t="s">
        <v>327</v>
      </c>
      <c r="B246" s="132">
        <v>34</v>
      </c>
      <c r="C246" s="111">
        <v>175.26</v>
      </c>
      <c r="D246" s="111">
        <v>70.306759999999997</v>
      </c>
      <c r="E246" s="111">
        <v>70.826982000000001</v>
      </c>
      <c r="F246" s="111">
        <v>1</v>
      </c>
      <c r="G246" s="133">
        <v>0</v>
      </c>
      <c r="H246" s="111">
        <v>16</v>
      </c>
      <c r="I246" s="111">
        <v>1</v>
      </c>
      <c r="J246" s="111">
        <v>2</v>
      </c>
      <c r="K246" s="111">
        <v>3</v>
      </c>
      <c r="L246">
        <v>0</v>
      </c>
    </row>
    <row r="247" spans="1:12" x14ac:dyDescent="0.2">
      <c r="A247" s="111" t="s">
        <v>328</v>
      </c>
      <c r="B247" s="132">
        <v>41</v>
      </c>
      <c r="C247" s="111">
        <v>187.96</v>
      </c>
      <c r="D247" s="111">
        <v>117.026736</v>
      </c>
      <c r="E247" s="111">
        <v>76</v>
      </c>
      <c r="F247" s="111">
        <v>4</v>
      </c>
      <c r="G247" s="133">
        <v>0.25</v>
      </c>
      <c r="H247" s="111">
        <v>8.5</v>
      </c>
      <c r="I247" s="111">
        <v>0.5</v>
      </c>
      <c r="J247" s="111">
        <v>0.25</v>
      </c>
      <c r="K247" s="111">
        <v>0.5</v>
      </c>
      <c r="L247">
        <v>0</v>
      </c>
    </row>
    <row r="248" spans="1:12" x14ac:dyDescent="0.2">
      <c r="A248" s="111" t="s">
        <v>329</v>
      </c>
      <c r="B248" s="132">
        <v>29</v>
      </c>
      <c r="C248" s="111">
        <v>177.8</v>
      </c>
      <c r="D248" s="111">
        <v>70.306759999999997</v>
      </c>
      <c r="E248" s="111">
        <v>70</v>
      </c>
      <c r="F248" s="111">
        <v>4</v>
      </c>
      <c r="G248" s="133">
        <v>1</v>
      </c>
      <c r="H248" s="111">
        <v>21</v>
      </c>
      <c r="I248" s="111">
        <v>2.75</v>
      </c>
      <c r="J248" s="111">
        <v>0.5</v>
      </c>
      <c r="K248" s="111">
        <v>2.25</v>
      </c>
      <c r="L248">
        <v>0</v>
      </c>
    </row>
    <row r="249" spans="1:12" x14ac:dyDescent="0.2">
      <c r="A249" s="111" t="s">
        <v>330</v>
      </c>
      <c r="B249" s="132">
        <v>32</v>
      </c>
      <c r="C249" s="111">
        <v>187.96</v>
      </c>
      <c r="D249" s="111">
        <v>83.914519999999996</v>
      </c>
      <c r="E249" s="111">
        <v>78</v>
      </c>
      <c r="F249" s="111">
        <v>10</v>
      </c>
      <c r="G249" s="133">
        <v>0.9</v>
      </c>
      <c r="H249" s="111">
        <v>33.6</v>
      </c>
      <c r="I249" s="111">
        <v>2.4</v>
      </c>
      <c r="J249" s="111">
        <v>0.7</v>
      </c>
      <c r="K249" s="111">
        <v>2.6</v>
      </c>
      <c r="L249">
        <v>0</v>
      </c>
    </row>
    <row r="250" spans="1:12" x14ac:dyDescent="0.2">
      <c r="A250" s="111" t="s">
        <v>331</v>
      </c>
      <c r="B250" s="132">
        <v>39</v>
      </c>
      <c r="C250" s="111">
        <v>185.42</v>
      </c>
      <c r="D250" s="111">
        <v>77.110640000000004</v>
      </c>
      <c r="E250" s="111">
        <v>75</v>
      </c>
      <c r="F250" s="111">
        <v>4</v>
      </c>
      <c r="G250" s="133">
        <v>0.25</v>
      </c>
      <c r="H250" s="111">
        <v>33.25</v>
      </c>
      <c r="I250" s="111">
        <v>1.25</v>
      </c>
      <c r="J250" s="111">
        <v>1.5</v>
      </c>
      <c r="K250" s="111">
        <v>0.75</v>
      </c>
      <c r="L250">
        <v>0</v>
      </c>
    </row>
    <row r="251" spans="1:12" x14ac:dyDescent="0.2">
      <c r="A251" s="111" t="s">
        <v>332</v>
      </c>
      <c r="B251" s="132">
        <v>30</v>
      </c>
      <c r="C251" s="111">
        <v>198.12</v>
      </c>
      <c r="D251" s="111">
        <v>117.93392</v>
      </c>
      <c r="E251" s="111">
        <v>81</v>
      </c>
      <c r="F251" s="111">
        <v>4</v>
      </c>
      <c r="G251" s="133">
        <v>0.25</v>
      </c>
      <c r="H251" s="111">
        <v>19.5</v>
      </c>
      <c r="I251" s="111">
        <v>1.5</v>
      </c>
      <c r="J251" s="111">
        <v>1</v>
      </c>
      <c r="K251" s="111">
        <v>2</v>
      </c>
      <c r="L251">
        <v>0</v>
      </c>
    </row>
    <row r="252" spans="1:12" x14ac:dyDescent="0.2">
      <c r="A252" s="111" t="s">
        <v>333</v>
      </c>
      <c r="B252" s="132" t="s">
        <v>1596</v>
      </c>
      <c r="C252" s="111">
        <v>187.96</v>
      </c>
      <c r="D252" s="111">
        <v>106.140528</v>
      </c>
      <c r="E252" s="111">
        <v>77</v>
      </c>
      <c r="F252" s="111">
        <v>5</v>
      </c>
      <c r="G252" s="133">
        <v>0.4</v>
      </c>
      <c r="H252" s="111">
        <v>23</v>
      </c>
      <c r="I252" s="111">
        <v>0.6</v>
      </c>
      <c r="J252" s="111">
        <v>0.6</v>
      </c>
      <c r="K252" s="111">
        <v>0.6</v>
      </c>
      <c r="L252">
        <v>0</v>
      </c>
    </row>
    <row r="253" spans="1:12" x14ac:dyDescent="0.2">
      <c r="A253" s="111" t="s">
        <v>334</v>
      </c>
      <c r="B253" s="132">
        <v>54</v>
      </c>
      <c r="C253" s="111">
        <v>182.88</v>
      </c>
      <c r="D253" s="111">
        <v>90.718400000000003</v>
      </c>
      <c r="E253" s="111">
        <v>73.842215999999993</v>
      </c>
      <c r="F253" s="111">
        <v>2</v>
      </c>
      <c r="G253" s="133">
        <v>0</v>
      </c>
      <c r="H253" s="111">
        <v>2</v>
      </c>
      <c r="I253" s="111">
        <v>0</v>
      </c>
      <c r="J253" s="111">
        <v>0.5</v>
      </c>
      <c r="K253" s="111">
        <v>0</v>
      </c>
      <c r="L253">
        <v>1</v>
      </c>
    </row>
    <row r="254" spans="1:12" x14ac:dyDescent="0.2">
      <c r="A254" s="111" t="s">
        <v>335</v>
      </c>
      <c r="B254" s="132">
        <v>26</v>
      </c>
      <c r="C254" s="111">
        <v>177.8</v>
      </c>
      <c r="D254" s="111">
        <v>70.306759999999997</v>
      </c>
      <c r="E254" s="111">
        <v>71</v>
      </c>
      <c r="F254" s="111">
        <v>3</v>
      </c>
      <c r="G254" s="133">
        <v>0.33333333333333331</v>
      </c>
      <c r="H254" s="111">
        <v>16.666666666666668</v>
      </c>
      <c r="I254" s="111">
        <v>0.33333333333333331</v>
      </c>
      <c r="J254" s="111">
        <v>0.33333333333333331</v>
      </c>
      <c r="K254" s="111">
        <v>1.6666666666666667</v>
      </c>
      <c r="L254">
        <v>0</v>
      </c>
    </row>
    <row r="255" spans="1:12" x14ac:dyDescent="0.2">
      <c r="A255" s="111" t="s">
        <v>336</v>
      </c>
      <c r="B255" s="132">
        <v>47</v>
      </c>
      <c r="C255" s="111">
        <v>187.96</v>
      </c>
      <c r="D255" s="111">
        <v>92.986360000000005</v>
      </c>
      <c r="E255" s="111">
        <v>76</v>
      </c>
      <c r="F255" s="111">
        <v>23</v>
      </c>
      <c r="G255" s="133">
        <v>0.69565217391304346</v>
      </c>
      <c r="H255" s="111">
        <v>26.565217391304348</v>
      </c>
      <c r="I255" s="111">
        <v>0.30434782608695654</v>
      </c>
      <c r="J255" s="111">
        <v>0</v>
      </c>
      <c r="K255" s="111">
        <v>0.13043478260869565</v>
      </c>
      <c r="L255">
        <v>0</v>
      </c>
    </row>
    <row r="256" spans="1:12" x14ac:dyDescent="0.2">
      <c r="A256" s="111" t="s">
        <v>337</v>
      </c>
      <c r="B256" s="132">
        <v>31</v>
      </c>
      <c r="C256" s="111">
        <v>187.96</v>
      </c>
      <c r="D256" s="111">
        <v>77.110640000000004</v>
      </c>
      <c r="E256" s="111">
        <v>75.852372000000003</v>
      </c>
      <c r="F256" s="111">
        <v>1</v>
      </c>
      <c r="G256" s="133">
        <v>0</v>
      </c>
      <c r="H256" s="111">
        <v>47</v>
      </c>
      <c r="I256" s="111">
        <v>0</v>
      </c>
      <c r="J256" s="111">
        <v>0</v>
      </c>
      <c r="K256" s="111">
        <v>0</v>
      </c>
      <c r="L256">
        <v>0</v>
      </c>
    </row>
    <row r="257" spans="1:12" x14ac:dyDescent="0.2">
      <c r="A257" s="111" t="s">
        <v>338</v>
      </c>
      <c r="B257" s="132">
        <v>39</v>
      </c>
      <c r="C257" s="111">
        <v>187.96</v>
      </c>
      <c r="D257" s="111">
        <v>77.110640000000004</v>
      </c>
      <c r="E257" s="111">
        <v>75.852372000000003</v>
      </c>
      <c r="F257" s="111">
        <v>1</v>
      </c>
      <c r="G257" s="133">
        <v>0</v>
      </c>
      <c r="H257" s="111">
        <v>28</v>
      </c>
      <c r="I257" s="111">
        <v>1</v>
      </c>
      <c r="J257" s="111">
        <v>0</v>
      </c>
      <c r="K257" s="111">
        <v>0</v>
      </c>
      <c r="L257">
        <v>0</v>
      </c>
    </row>
    <row r="258" spans="1:12" x14ac:dyDescent="0.2">
      <c r="A258" s="111" t="s">
        <v>339</v>
      </c>
      <c r="B258" s="132">
        <v>36</v>
      </c>
      <c r="C258" s="111">
        <v>180.34</v>
      </c>
      <c r="D258" s="111">
        <v>77.110640000000004</v>
      </c>
      <c r="E258" s="111">
        <v>75</v>
      </c>
      <c r="F258" s="111">
        <v>4</v>
      </c>
      <c r="G258" s="133">
        <v>0.75</v>
      </c>
      <c r="H258" s="111">
        <v>23.25</v>
      </c>
      <c r="I258" s="111">
        <v>2</v>
      </c>
      <c r="J258" s="111">
        <v>1.5</v>
      </c>
      <c r="K258" s="111">
        <v>3.25</v>
      </c>
      <c r="L258">
        <v>0</v>
      </c>
    </row>
    <row r="259" spans="1:12" x14ac:dyDescent="0.2">
      <c r="A259" s="111" t="s">
        <v>340</v>
      </c>
      <c r="B259" s="132">
        <v>28</v>
      </c>
      <c r="C259" s="111">
        <v>162.56</v>
      </c>
      <c r="D259" s="111">
        <v>52.163080000000001</v>
      </c>
      <c r="E259" s="111">
        <v>63</v>
      </c>
      <c r="F259" s="111">
        <v>3</v>
      </c>
      <c r="G259" s="133">
        <v>0.66666666666666663</v>
      </c>
      <c r="H259" s="111">
        <v>69.333333333333329</v>
      </c>
      <c r="I259" s="111">
        <v>5.333333333333333</v>
      </c>
      <c r="J259" s="111">
        <v>1</v>
      </c>
      <c r="K259" s="111">
        <v>3.3333333333333335</v>
      </c>
      <c r="L259">
        <v>0</v>
      </c>
    </row>
    <row r="260" spans="1:12" x14ac:dyDescent="0.2">
      <c r="A260" s="111" t="s">
        <v>1573</v>
      </c>
      <c r="B260" s="132">
        <v>34</v>
      </c>
      <c r="C260" s="111">
        <v>180.34</v>
      </c>
      <c r="D260" s="111">
        <v>77.110640000000004</v>
      </c>
      <c r="E260" s="111">
        <v>71</v>
      </c>
      <c r="F260" s="111">
        <v>2</v>
      </c>
      <c r="G260" s="133">
        <v>1</v>
      </c>
      <c r="H260" s="111">
        <v>35</v>
      </c>
      <c r="I260" s="111">
        <v>3</v>
      </c>
      <c r="J260" s="111">
        <v>0.5</v>
      </c>
      <c r="K260" s="111">
        <v>6.5</v>
      </c>
      <c r="L260">
        <v>1</v>
      </c>
    </row>
    <row r="261" spans="1:12" x14ac:dyDescent="0.2">
      <c r="A261" s="111" t="s">
        <v>341</v>
      </c>
      <c r="B261" s="132">
        <v>23</v>
      </c>
      <c r="C261" s="111">
        <v>180.34</v>
      </c>
      <c r="D261" s="111">
        <v>65.770840000000007</v>
      </c>
      <c r="E261" s="111">
        <v>73</v>
      </c>
      <c r="F261" s="111">
        <v>4</v>
      </c>
      <c r="G261" s="133">
        <v>0.25</v>
      </c>
      <c r="H261" s="111">
        <v>62</v>
      </c>
      <c r="I261" s="111">
        <v>2.75</v>
      </c>
      <c r="J261" s="111">
        <v>0.5</v>
      </c>
      <c r="K261" s="111">
        <v>0.75</v>
      </c>
      <c r="L261">
        <v>0</v>
      </c>
    </row>
    <row r="262" spans="1:12" x14ac:dyDescent="0.2">
      <c r="A262" s="111" t="s">
        <v>342</v>
      </c>
      <c r="B262" s="132">
        <v>35</v>
      </c>
      <c r="C262" s="111">
        <v>170.18</v>
      </c>
      <c r="D262" s="111">
        <v>65.770840000000007</v>
      </c>
      <c r="E262" s="111">
        <v>70</v>
      </c>
      <c r="F262" s="111">
        <v>22</v>
      </c>
      <c r="G262" s="133">
        <v>0.54545454545454541</v>
      </c>
      <c r="H262" s="111">
        <v>27.227272727272727</v>
      </c>
      <c r="I262" s="111">
        <v>2.7727272727272729</v>
      </c>
      <c r="J262" s="111">
        <v>0.63636363636363635</v>
      </c>
      <c r="K262" s="111">
        <v>2.1363636363636362</v>
      </c>
      <c r="L262">
        <v>0</v>
      </c>
    </row>
    <row r="263" spans="1:12" x14ac:dyDescent="0.2">
      <c r="A263" s="111" t="s">
        <v>343</v>
      </c>
      <c r="B263" s="132">
        <v>36</v>
      </c>
      <c r="C263" s="111">
        <v>185.42</v>
      </c>
      <c r="D263" s="111">
        <v>77.110640000000004</v>
      </c>
      <c r="E263" s="111">
        <v>74</v>
      </c>
      <c r="F263" s="111">
        <v>3</v>
      </c>
      <c r="G263" s="133">
        <v>0.33333333333333331</v>
      </c>
      <c r="H263" s="111">
        <v>25</v>
      </c>
      <c r="I263" s="111">
        <v>0.33333333333333331</v>
      </c>
      <c r="J263" s="111">
        <v>0.66666666666666663</v>
      </c>
      <c r="K263" s="111">
        <v>0.66666666666666663</v>
      </c>
      <c r="L263">
        <v>0</v>
      </c>
    </row>
    <row r="264" spans="1:12" x14ac:dyDescent="0.2">
      <c r="A264" s="111" t="s">
        <v>344</v>
      </c>
      <c r="B264" s="132">
        <v>35</v>
      </c>
      <c r="C264" s="111">
        <v>182.88</v>
      </c>
      <c r="D264" s="111">
        <v>83.914519999999996</v>
      </c>
      <c r="E264" s="111">
        <v>77</v>
      </c>
      <c r="F264" s="111">
        <v>3</v>
      </c>
      <c r="G264" s="133">
        <v>0.33333333333333331</v>
      </c>
      <c r="H264" s="111">
        <v>15</v>
      </c>
      <c r="I264" s="111">
        <v>1</v>
      </c>
      <c r="J264" s="111">
        <v>0</v>
      </c>
      <c r="K264" s="111">
        <v>1</v>
      </c>
      <c r="L264">
        <v>0</v>
      </c>
    </row>
    <row r="265" spans="1:12" x14ac:dyDescent="0.2">
      <c r="A265" s="111" t="s">
        <v>345</v>
      </c>
      <c r="B265" s="132">
        <v>30</v>
      </c>
      <c r="C265" s="111">
        <v>187.96</v>
      </c>
      <c r="D265" s="111">
        <v>92.986360000000005</v>
      </c>
      <c r="E265" s="111">
        <v>77</v>
      </c>
      <c r="F265" s="111">
        <v>6</v>
      </c>
      <c r="G265" s="133">
        <v>0.66666666666666663</v>
      </c>
      <c r="H265" s="111">
        <v>41.333333333333336</v>
      </c>
      <c r="I265" s="111">
        <v>0.83333333333333337</v>
      </c>
      <c r="J265" s="111">
        <v>0</v>
      </c>
      <c r="K265" s="111">
        <v>1</v>
      </c>
      <c r="L265">
        <v>0</v>
      </c>
    </row>
    <row r="266" spans="1:12" x14ac:dyDescent="0.2">
      <c r="A266" s="111" t="s">
        <v>346</v>
      </c>
      <c r="B266" s="132">
        <v>35</v>
      </c>
      <c r="C266" s="111">
        <v>190.5</v>
      </c>
      <c r="D266" s="111">
        <v>92.986360000000005</v>
      </c>
      <c r="E266" s="111">
        <v>74</v>
      </c>
      <c r="F266" s="111">
        <v>4</v>
      </c>
      <c r="G266" s="133">
        <v>0.25</v>
      </c>
      <c r="H266" s="111">
        <v>25.25</v>
      </c>
      <c r="I266" s="111">
        <v>0.5</v>
      </c>
      <c r="J266" s="111">
        <v>0.5</v>
      </c>
      <c r="K266" s="111">
        <v>0.75</v>
      </c>
      <c r="L266">
        <v>0</v>
      </c>
    </row>
    <row r="267" spans="1:12" x14ac:dyDescent="0.2">
      <c r="A267" s="111" t="s">
        <v>347</v>
      </c>
      <c r="B267" s="132">
        <v>25</v>
      </c>
      <c r="C267" s="111">
        <v>172.72</v>
      </c>
      <c r="D267" s="111">
        <v>61.234920000000002</v>
      </c>
      <c r="E267" s="111">
        <v>65</v>
      </c>
      <c r="F267" s="111">
        <v>3</v>
      </c>
      <c r="G267" s="133">
        <v>1</v>
      </c>
      <c r="H267" s="111">
        <v>41.333333333333336</v>
      </c>
      <c r="I267" s="111">
        <v>1.3333333333333333</v>
      </c>
      <c r="J267" s="111">
        <v>0</v>
      </c>
      <c r="K267" s="111">
        <v>1</v>
      </c>
      <c r="L267">
        <v>0</v>
      </c>
    </row>
    <row r="268" spans="1:12" x14ac:dyDescent="0.2">
      <c r="A268" s="111" t="s">
        <v>348</v>
      </c>
      <c r="B268" s="132">
        <v>29</v>
      </c>
      <c r="C268" s="111">
        <v>177.8</v>
      </c>
      <c r="D268" s="111">
        <v>61.234920000000002</v>
      </c>
      <c r="E268" s="111">
        <v>71</v>
      </c>
      <c r="F268" s="111">
        <v>4</v>
      </c>
      <c r="G268" s="133">
        <v>0.25</v>
      </c>
      <c r="H268" s="111">
        <v>25</v>
      </c>
      <c r="I268" s="111">
        <v>1.25</v>
      </c>
      <c r="J268" s="111">
        <v>0.25</v>
      </c>
      <c r="K268" s="111">
        <v>0.75</v>
      </c>
      <c r="L268">
        <v>0</v>
      </c>
    </row>
    <row r="269" spans="1:12" x14ac:dyDescent="0.2">
      <c r="A269" s="111" t="s">
        <v>349</v>
      </c>
      <c r="B269" s="132">
        <v>29</v>
      </c>
      <c r="C269" s="111">
        <v>182.88</v>
      </c>
      <c r="D269" s="111">
        <v>70.306759999999997</v>
      </c>
      <c r="E269" s="111">
        <v>72</v>
      </c>
      <c r="F269" s="111">
        <v>7</v>
      </c>
      <c r="G269" s="133">
        <v>0.42857142857142855</v>
      </c>
      <c r="H269" s="111">
        <v>13.428571428571429</v>
      </c>
      <c r="I269" s="111">
        <v>1.2857142857142858</v>
      </c>
      <c r="J269" s="111">
        <v>1.2857142857142858</v>
      </c>
      <c r="K269" s="111">
        <v>1.1428571428571428</v>
      </c>
      <c r="L269">
        <v>0</v>
      </c>
    </row>
    <row r="270" spans="1:12" x14ac:dyDescent="0.2">
      <c r="A270" s="111" t="s">
        <v>350</v>
      </c>
      <c r="B270" s="132">
        <v>26</v>
      </c>
      <c r="C270" s="111">
        <v>177.8</v>
      </c>
      <c r="D270" s="111">
        <v>70.306759999999997</v>
      </c>
      <c r="E270" s="111">
        <v>73</v>
      </c>
      <c r="F270" s="111">
        <v>3</v>
      </c>
      <c r="G270" s="133">
        <v>0.33333333333333331</v>
      </c>
      <c r="H270" s="111">
        <v>10.666666666666666</v>
      </c>
      <c r="I270" s="111">
        <v>2.3333333333333335</v>
      </c>
      <c r="J270" s="111">
        <v>0</v>
      </c>
      <c r="K270" s="111">
        <v>2</v>
      </c>
      <c r="L270">
        <v>0</v>
      </c>
    </row>
    <row r="271" spans="1:12" x14ac:dyDescent="0.2">
      <c r="A271" s="111" t="s">
        <v>351</v>
      </c>
      <c r="B271" s="132">
        <v>28</v>
      </c>
      <c r="C271" s="111">
        <v>180.34</v>
      </c>
      <c r="D271" s="111">
        <v>77.110640000000004</v>
      </c>
      <c r="E271" s="111">
        <v>72</v>
      </c>
      <c r="F271" s="111">
        <v>4</v>
      </c>
      <c r="G271" s="133">
        <v>0.75</v>
      </c>
      <c r="H271" s="111">
        <v>15.5</v>
      </c>
      <c r="I271" s="111">
        <v>2.5</v>
      </c>
      <c r="J271" s="111">
        <v>0.25</v>
      </c>
      <c r="K271" s="111">
        <v>4.25</v>
      </c>
      <c r="L271">
        <v>0</v>
      </c>
    </row>
    <row r="272" spans="1:12" x14ac:dyDescent="0.2">
      <c r="A272" s="111" t="s">
        <v>352</v>
      </c>
      <c r="B272" s="132">
        <v>35</v>
      </c>
      <c r="C272" s="111">
        <v>170.18</v>
      </c>
      <c r="D272" s="111">
        <v>61.234920000000002</v>
      </c>
      <c r="E272" s="111">
        <v>72</v>
      </c>
      <c r="F272" s="111">
        <v>3</v>
      </c>
      <c r="G272" s="133">
        <v>0</v>
      </c>
      <c r="H272" s="111">
        <v>27.333333333333332</v>
      </c>
      <c r="I272" s="111">
        <v>0.66666666666666663</v>
      </c>
      <c r="J272" s="111">
        <v>0</v>
      </c>
      <c r="K272" s="111">
        <v>0.33333333333333331</v>
      </c>
      <c r="L272">
        <v>0</v>
      </c>
    </row>
    <row r="273" spans="1:12" x14ac:dyDescent="0.2">
      <c r="A273" s="111" t="s">
        <v>353</v>
      </c>
      <c r="B273" s="132">
        <v>32</v>
      </c>
      <c r="C273" s="111">
        <v>185.42</v>
      </c>
      <c r="D273" s="111">
        <v>65.770840000000007</v>
      </c>
      <c r="E273" s="111">
        <v>74</v>
      </c>
      <c r="F273" s="111">
        <v>18</v>
      </c>
      <c r="G273" s="133">
        <v>0.55555555555555558</v>
      </c>
      <c r="H273" s="111">
        <v>30.611111111111111</v>
      </c>
      <c r="I273" s="111">
        <v>0.27777777777777779</v>
      </c>
      <c r="J273" s="111">
        <v>1.2777777777777777</v>
      </c>
      <c r="K273" s="111">
        <v>1.3333333333333333</v>
      </c>
      <c r="L273">
        <v>0</v>
      </c>
    </row>
    <row r="274" spans="1:12" x14ac:dyDescent="0.2">
      <c r="A274" s="111" t="s">
        <v>354</v>
      </c>
      <c r="B274" s="132">
        <v>33</v>
      </c>
      <c r="C274" s="111">
        <v>187.96</v>
      </c>
      <c r="D274" s="111">
        <v>70.306759999999997</v>
      </c>
      <c r="E274" s="111">
        <v>78</v>
      </c>
      <c r="F274" s="111">
        <v>2</v>
      </c>
      <c r="G274" s="133">
        <v>0</v>
      </c>
      <c r="H274" s="111">
        <v>46.5</v>
      </c>
      <c r="I274" s="111">
        <v>0</v>
      </c>
      <c r="J274" s="111">
        <v>0</v>
      </c>
      <c r="K274" s="111">
        <v>0.5</v>
      </c>
      <c r="L274">
        <v>0</v>
      </c>
    </row>
    <row r="275" spans="1:12" x14ac:dyDescent="0.2">
      <c r="A275" s="111" t="s">
        <v>355</v>
      </c>
      <c r="B275" s="132">
        <v>48</v>
      </c>
      <c r="C275" s="111">
        <v>193.04</v>
      </c>
      <c r="D275" s="111">
        <v>110.22285599999999</v>
      </c>
      <c r="E275" s="111">
        <v>77.862527999999998</v>
      </c>
      <c r="F275" s="111">
        <v>2</v>
      </c>
      <c r="G275" s="133">
        <v>0</v>
      </c>
      <c r="H275" s="111">
        <v>18</v>
      </c>
      <c r="I275" s="111">
        <v>0.5</v>
      </c>
      <c r="J275" s="111">
        <v>1</v>
      </c>
      <c r="K275" s="111">
        <v>1</v>
      </c>
      <c r="L275">
        <v>0</v>
      </c>
    </row>
    <row r="276" spans="1:12" x14ac:dyDescent="0.2">
      <c r="A276" s="111" t="s">
        <v>356</v>
      </c>
      <c r="B276" s="132" t="s">
        <v>1596</v>
      </c>
      <c r="C276" s="111">
        <v>185.42</v>
      </c>
      <c r="D276" s="111">
        <v>83.914519999999996</v>
      </c>
      <c r="E276" s="111">
        <v>76</v>
      </c>
      <c r="F276" s="111">
        <v>1</v>
      </c>
      <c r="G276" s="133">
        <v>0</v>
      </c>
      <c r="H276" s="111">
        <v>95</v>
      </c>
      <c r="I276" s="111">
        <v>2</v>
      </c>
      <c r="J276" s="111">
        <v>0</v>
      </c>
      <c r="K276" s="111">
        <v>1</v>
      </c>
      <c r="L276">
        <v>0</v>
      </c>
    </row>
    <row r="277" spans="1:12" x14ac:dyDescent="0.2">
      <c r="A277" s="111" t="s">
        <v>357</v>
      </c>
      <c r="B277" s="132">
        <v>29</v>
      </c>
      <c r="C277" s="111">
        <v>182.88</v>
      </c>
      <c r="D277" s="111">
        <v>70.306759999999997</v>
      </c>
      <c r="E277" s="111">
        <v>71</v>
      </c>
      <c r="F277" s="111">
        <v>4</v>
      </c>
      <c r="G277" s="133">
        <v>0.25</v>
      </c>
      <c r="H277" s="111">
        <v>13.5</v>
      </c>
      <c r="I277" s="111">
        <v>2.25</v>
      </c>
      <c r="J277" s="111">
        <v>0.75</v>
      </c>
      <c r="K277" s="111">
        <v>1.5</v>
      </c>
      <c r="L277">
        <v>0</v>
      </c>
    </row>
    <row r="278" spans="1:12" x14ac:dyDescent="0.2">
      <c r="A278" s="111" t="s">
        <v>358</v>
      </c>
      <c r="B278" s="132">
        <v>28</v>
      </c>
      <c r="C278" s="111">
        <v>175.26</v>
      </c>
      <c r="D278" s="111">
        <v>77.110640000000004</v>
      </c>
      <c r="E278" s="111">
        <v>74</v>
      </c>
      <c r="F278" s="111">
        <v>7</v>
      </c>
      <c r="G278" s="133">
        <v>1</v>
      </c>
      <c r="H278" s="111">
        <v>30.857142857142858</v>
      </c>
      <c r="I278" s="111">
        <v>0.7142857142857143</v>
      </c>
      <c r="J278" s="111">
        <v>0</v>
      </c>
      <c r="K278" s="111">
        <v>1.1428571428571428</v>
      </c>
      <c r="L278">
        <v>1</v>
      </c>
    </row>
    <row r="279" spans="1:12" x14ac:dyDescent="0.2">
      <c r="A279" s="111" t="s">
        <v>359</v>
      </c>
      <c r="B279" s="132">
        <v>27</v>
      </c>
      <c r="C279" s="111">
        <v>190.5</v>
      </c>
      <c r="D279" s="111">
        <v>92.986360000000005</v>
      </c>
      <c r="E279" s="111">
        <v>79</v>
      </c>
      <c r="F279" s="111">
        <v>5</v>
      </c>
      <c r="G279" s="133">
        <v>0.8</v>
      </c>
      <c r="H279" s="111">
        <v>64.8</v>
      </c>
      <c r="I279" s="111">
        <v>3.8</v>
      </c>
      <c r="J279" s="111">
        <v>0</v>
      </c>
      <c r="K279" s="111">
        <v>2.8</v>
      </c>
      <c r="L279">
        <v>0</v>
      </c>
    </row>
    <row r="280" spans="1:12" x14ac:dyDescent="0.2">
      <c r="A280" s="111" t="s">
        <v>360</v>
      </c>
      <c r="B280" s="132">
        <v>38</v>
      </c>
      <c r="C280" s="111">
        <v>193.04</v>
      </c>
      <c r="D280" s="111">
        <v>70.306759999999997</v>
      </c>
      <c r="E280" s="111">
        <v>80</v>
      </c>
      <c r="F280" s="111">
        <v>3</v>
      </c>
      <c r="G280" s="133">
        <v>0.33333333333333331</v>
      </c>
      <c r="H280" s="111">
        <v>23.666666666666668</v>
      </c>
      <c r="I280" s="111">
        <v>1.3333333333333333</v>
      </c>
      <c r="J280" s="111">
        <v>0</v>
      </c>
      <c r="K280" s="111">
        <v>1.6666666666666667</v>
      </c>
      <c r="L280">
        <v>0</v>
      </c>
    </row>
    <row r="281" spans="1:12" x14ac:dyDescent="0.2">
      <c r="A281" s="111" t="s">
        <v>361</v>
      </c>
      <c r="B281" s="132">
        <v>29</v>
      </c>
      <c r="C281" s="111">
        <v>170.18</v>
      </c>
      <c r="D281" s="111">
        <v>52.163080000000001</v>
      </c>
      <c r="E281" s="111">
        <v>67</v>
      </c>
      <c r="F281" s="111">
        <v>2</v>
      </c>
      <c r="G281" s="133">
        <v>0</v>
      </c>
      <c r="H281" s="111">
        <v>67.5</v>
      </c>
      <c r="I281" s="111">
        <v>0</v>
      </c>
      <c r="J281" s="111">
        <v>0</v>
      </c>
      <c r="K281" s="111">
        <v>0</v>
      </c>
      <c r="L281">
        <v>0</v>
      </c>
    </row>
    <row r="282" spans="1:12" x14ac:dyDescent="0.2">
      <c r="A282" s="111" t="s">
        <v>362</v>
      </c>
      <c r="B282" s="132" t="s">
        <v>1596</v>
      </c>
      <c r="C282" s="111">
        <v>182.88</v>
      </c>
      <c r="D282" s="111">
        <v>92.986360000000005</v>
      </c>
      <c r="E282" s="111">
        <v>73.842215999999993</v>
      </c>
      <c r="F282" s="111">
        <v>1</v>
      </c>
      <c r="G282" s="133">
        <v>0</v>
      </c>
      <c r="H282" s="111">
        <v>2</v>
      </c>
      <c r="I282" s="111">
        <v>0</v>
      </c>
      <c r="J282" s="111">
        <v>0</v>
      </c>
      <c r="K282" s="111">
        <v>0</v>
      </c>
      <c r="L282">
        <v>0</v>
      </c>
    </row>
    <row r="283" spans="1:12" x14ac:dyDescent="0.2">
      <c r="A283" s="111" t="s">
        <v>363</v>
      </c>
      <c r="B283" s="132">
        <v>37</v>
      </c>
      <c r="C283" s="111">
        <v>180.34</v>
      </c>
      <c r="D283" s="111">
        <v>83.914519999999996</v>
      </c>
      <c r="E283" s="111">
        <v>73</v>
      </c>
      <c r="F283" s="111">
        <v>10</v>
      </c>
      <c r="G283" s="133">
        <v>0.6</v>
      </c>
      <c r="H283" s="111">
        <v>24.4</v>
      </c>
      <c r="I283" s="111">
        <v>0.3</v>
      </c>
      <c r="J283" s="111">
        <v>0.2</v>
      </c>
      <c r="K283" s="111">
        <v>0.2</v>
      </c>
      <c r="L283">
        <v>0</v>
      </c>
    </row>
    <row r="284" spans="1:12" x14ac:dyDescent="0.2">
      <c r="A284" s="111" t="s">
        <v>364</v>
      </c>
      <c r="B284" s="132">
        <v>32</v>
      </c>
      <c r="C284" s="111">
        <v>180.34</v>
      </c>
      <c r="D284" s="111">
        <v>77.110640000000004</v>
      </c>
      <c r="E284" s="111">
        <v>76</v>
      </c>
      <c r="F284" s="111">
        <v>9</v>
      </c>
      <c r="G284" s="133">
        <v>0.66666666666666663</v>
      </c>
      <c r="H284" s="111">
        <v>75.111111111111114</v>
      </c>
      <c r="I284" s="111">
        <v>2</v>
      </c>
      <c r="J284" s="111">
        <v>0.55555555555555558</v>
      </c>
      <c r="K284" s="111">
        <v>1.4444444444444444</v>
      </c>
      <c r="L284">
        <v>0</v>
      </c>
    </row>
    <row r="285" spans="1:12" x14ac:dyDescent="0.2">
      <c r="A285" s="111" t="s">
        <v>365</v>
      </c>
      <c r="B285" s="132">
        <v>44</v>
      </c>
      <c r="C285" s="111">
        <v>182.88</v>
      </c>
      <c r="D285" s="111">
        <v>83.914519999999996</v>
      </c>
      <c r="E285" s="111">
        <v>73.842215999999993</v>
      </c>
      <c r="F285" s="111">
        <v>2</v>
      </c>
      <c r="G285" s="133">
        <v>0</v>
      </c>
      <c r="H285" s="111">
        <v>2.5</v>
      </c>
      <c r="I285" s="111">
        <v>0</v>
      </c>
      <c r="J285" s="111">
        <v>0</v>
      </c>
      <c r="K285" s="111">
        <v>0</v>
      </c>
      <c r="L285">
        <v>0</v>
      </c>
    </row>
    <row r="286" spans="1:12" x14ac:dyDescent="0.2">
      <c r="A286" s="111" t="s">
        <v>366</v>
      </c>
      <c r="B286" s="132">
        <v>39</v>
      </c>
      <c r="C286" s="111">
        <v>175.26</v>
      </c>
      <c r="D286" s="111">
        <v>70.306759999999997</v>
      </c>
      <c r="E286" s="111">
        <v>72</v>
      </c>
      <c r="F286" s="111">
        <v>4</v>
      </c>
      <c r="G286" s="133">
        <v>0.25</v>
      </c>
      <c r="H286" s="111">
        <v>42.5</v>
      </c>
      <c r="I286" s="111">
        <v>0.5</v>
      </c>
      <c r="J286" s="111">
        <v>0.25</v>
      </c>
      <c r="K286" s="111">
        <v>0.25</v>
      </c>
      <c r="L286">
        <v>0</v>
      </c>
    </row>
    <row r="287" spans="1:12" x14ac:dyDescent="0.2">
      <c r="A287" s="111" t="s">
        <v>367</v>
      </c>
      <c r="B287" s="132">
        <v>33</v>
      </c>
      <c r="C287" s="111">
        <v>172.72</v>
      </c>
      <c r="D287" s="111">
        <v>65.770840000000007</v>
      </c>
      <c r="E287" s="111">
        <v>70</v>
      </c>
      <c r="F287" s="111">
        <v>9</v>
      </c>
      <c r="G287" s="133">
        <v>0.66666666666666663</v>
      </c>
      <c r="H287" s="111">
        <v>43.222222222222221</v>
      </c>
      <c r="I287" s="111">
        <v>0.66666666666666663</v>
      </c>
      <c r="J287" s="111">
        <v>0.1111111111111111</v>
      </c>
      <c r="K287" s="111">
        <v>0.55555555555555558</v>
      </c>
      <c r="L287">
        <v>0</v>
      </c>
    </row>
    <row r="288" spans="1:12" x14ac:dyDescent="0.2">
      <c r="A288" s="111" t="s">
        <v>368</v>
      </c>
      <c r="B288" s="132">
        <v>44</v>
      </c>
      <c r="C288" s="111">
        <v>175.26</v>
      </c>
      <c r="D288" s="111">
        <v>83.914519999999996</v>
      </c>
      <c r="E288" s="111">
        <v>69</v>
      </c>
      <c r="F288" s="111">
        <v>4</v>
      </c>
      <c r="G288" s="133">
        <v>0.5</v>
      </c>
      <c r="H288" s="111">
        <v>33.25</v>
      </c>
      <c r="I288" s="111">
        <v>0.5</v>
      </c>
      <c r="J288" s="111">
        <v>0</v>
      </c>
      <c r="K288" s="111">
        <v>0.25</v>
      </c>
      <c r="L288">
        <v>1</v>
      </c>
    </row>
    <row r="289" spans="1:12" x14ac:dyDescent="0.2">
      <c r="A289" s="111" t="s">
        <v>369</v>
      </c>
      <c r="B289" s="132" t="s">
        <v>1596</v>
      </c>
      <c r="C289" s="111">
        <v>182.88</v>
      </c>
      <c r="D289" s="111">
        <v>70.306759999999997</v>
      </c>
      <c r="E289" s="111">
        <v>73</v>
      </c>
      <c r="F289" s="111">
        <v>3</v>
      </c>
      <c r="G289" s="133">
        <v>0.33333333333333331</v>
      </c>
      <c r="H289" s="111">
        <v>22.666666666666668</v>
      </c>
      <c r="I289" s="111">
        <v>1.6666666666666667</v>
      </c>
      <c r="J289" s="111">
        <v>0.66666666666666663</v>
      </c>
      <c r="K289" s="111">
        <v>1.6666666666666667</v>
      </c>
      <c r="L289">
        <v>0</v>
      </c>
    </row>
    <row r="290" spans="1:12" x14ac:dyDescent="0.2">
      <c r="A290" s="111" t="s">
        <v>370</v>
      </c>
      <c r="B290" s="132">
        <v>43</v>
      </c>
      <c r="C290" s="111">
        <v>185.42</v>
      </c>
      <c r="D290" s="111">
        <v>83.914519999999996</v>
      </c>
      <c r="E290" s="111">
        <v>74.847294000000005</v>
      </c>
      <c r="F290" s="111">
        <v>2</v>
      </c>
      <c r="G290" s="133">
        <v>0</v>
      </c>
      <c r="H290" s="111">
        <v>3.5</v>
      </c>
      <c r="I290" s="111">
        <v>0</v>
      </c>
      <c r="J290" s="111">
        <v>0</v>
      </c>
      <c r="K290" s="111">
        <v>0</v>
      </c>
      <c r="L290">
        <v>1</v>
      </c>
    </row>
    <row r="291" spans="1:12" x14ac:dyDescent="0.2">
      <c r="A291" s="111" t="s">
        <v>371</v>
      </c>
      <c r="B291" s="132">
        <v>43</v>
      </c>
      <c r="C291" s="111">
        <v>198.12</v>
      </c>
      <c r="D291" s="111">
        <v>92.986360000000005</v>
      </c>
      <c r="E291" s="111">
        <v>81</v>
      </c>
      <c r="F291" s="111">
        <v>8</v>
      </c>
      <c r="G291" s="133">
        <v>0.5</v>
      </c>
      <c r="H291" s="111">
        <v>31.75</v>
      </c>
      <c r="I291" s="111">
        <v>0.625</v>
      </c>
      <c r="J291" s="111">
        <v>0.125</v>
      </c>
      <c r="K291" s="111">
        <v>0.875</v>
      </c>
      <c r="L291">
        <v>1</v>
      </c>
    </row>
    <row r="292" spans="1:12" x14ac:dyDescent="0.2">
      <c r="A292" s="111" t="s">
        <v>372</v>
      </c>
      <c r="B292" s="132">
        <v>38</v>
      </c>
      <c r="C292" s="111">
        <v>182.88</v>
      </c>
      <c r="D292" s="111">
        <v>77.110640000000004</v>
      </c>
      <c r="E292" s="111">
        <v>73.842215999999993</v>
      </c>
      <c r="F292" s="111">
        <v>2</v>
      </c>
      <c r="G292" s="133">
        <v>0</v>
      </c>
      <c r="H292" s="111">
        <v>0</v>
      </c>
      <c r="I292" s="111">
        <v>0</v>
      </c>
      <c r="J292" s="111">
        <v>0</v>
      </c>
      <c r="K292" s="111">
        <v>0</v>
      </c>
      <c r="L292">
        <v>1</v>
      </c>
    </row>
    <row r="293" spans="1:12" x14ac:dyDescent="0.2">
      <c r="A293" s="111" t="s">
        <v>373</v>
      </c>
      <c r="B293" s="132" t="s">
        <v>1596</v>
      </c>
      <c r="C293" s="111">
        <v>177.8</v>
      </c>
      <c r="D293" s="111">
        <v>70.306759999999997</v>
      </c>
      <c r="E293" s="111">
        <v>69</v>
      </c>
      <c r="F293" s="111">
        <v>3</v>
      </c>
      <c r="G293" s="133">
        <v>0.33333333333333331</v>
      </c>
      <c r="H293" s="111">
        <v>4.666666666666667</v>
      </c>
      <c r="I293" s="111">
        <v>0.33333333333333331</v>
      </c>
      <c r="J293" s="111">
        <v>0.66666666666666663</v>
      </c>
      <c r="K293" s="111">
        <v>0.33333333333333331</v>
      </c>
      <c r="L293">
        <v>0</v>
      </c>
    </row>
    <row r="294" spans="1:12" x14ac:dyDescent="0.2">
      <c r="A294" s="111" t="s">
        <v>374</v>
      </c>
      <c r="B294" s="132">
        <v>34</v>
      </c>
      <c r="C294" s="111">
        <v>167.64</v>
      </c>
      <c r="D294" s="111">
        <v>61.234920000000002</v>
      </c>
      <c r="E294" s="111">
        <v>66</v>
      </c>
      <c r="F294" s="111">
        <v>3</v>
      </c>
      <c r="G294" s="133">
        <v>0</v>
      </c>
      <c r="H294" s="111">
        <v>15.666666666666666</v>
      </c>
      <c r="I294" s="111">
        <v>1</v>
      </c>
      <c r="J294" s="111">
        <v>0.33333333333333331</v>
      </c>
      <c r="K294" s="111">
        <v>1</v>
      </c>
      <c r="L294">
        <v>0</v>
      </c>
    </row>
    <row r="295" spans="1:12" x14ac:dyDescent="0.2">
      <c r="A295" s="111" t="s">
        <v>375</v>
      </c>
      <c r="B295" s="132">
        <v>34</v>
      </c>
      <c r="C295" s="111">
        <v>185.42</v>
      </c>
      <c r="D295" s="111">
        <v>77.110640000000004</v>
      </c>
      <c r="E295" s="111">
        <v>75</v>
      </c>
      <c r="F295" s="111">
        <v>10</v>
      </c>
      <c r="G295" s="133">
        <v>0.4</v>
      </c>
      <c r="H295" s="111">
        <v>13.4</v>
      </c>
      <c r="I295" s="111">
        <v>0.5</v>
      </c>
      <c r="J295" s="111">
        <v>0.3</v>
      </c>
      <c r="K295" s="111">
        <v>1.2</v>
      </c>
      <c r="L295">
        <v>0</v>
      </c>
    </row>
    <row r="296" spans="1:12" x14ac:dyDescent="0.2">
      <c r="A296" s="111" t="s">
        <v>376</v>
      </c>
      <c r="B296" s="132">
        <v>36</v>
      </c>
      <c r="C296" s="111">
        <v>185.42</v>
      </c>
      <c r="D296" s="111">
        <v>109.31567200000001</v>
      </c>
      <c r="E296" s="111">
        <v>74.847294000000005</v>
      </c>
      <c r="F296" s="111">
        <v>1</v>
      </c>
      <c r="G296" s="133">
        <v>0</v>
      </c>
      <c r="H296" s="111">
        <v>1</v>
      </c>
      <c r="I296" s="111">
        <v>0</v>
      </c>
      <c r="J296" s="111">
        <v>0</v>
      </c>
      <c r="K296" s="111">
        <v>0</v>
      </c>
      <c r="L296">
        <v>0</v>
      </c>
    </row>
    <row r="297" spans="1:12" x14ac:dyDescent="0.2">
      <c r="A297" s="111" t="s">
        <v>377</v>
      </c>
      <c r="B297" s="132">
        <v>26</v>
      </c>
      <c r="C297" s="111">
        <v>165.1</v>
      </c>
      <c r="D297" s="111">
        <v>61.234920000000002</v>
      </c>
      <c r="E297" s="111">
        <v>70</v>
      </c>
      <c r="F297" s="111">
        <v>1</v>
      </c>
      <c r="G297" s="133">
        <v>0</v>
      </c>
      <c r="H297" s="111">
        <v>14</v>
      </c>
      <c r="I297" s="111">
        <v>1</v>
      </c>
      <c r="J297" s="111">
        <v>1</v>
      </c>
      <c r="K297" s="111">
        <v>2</v>
      </c>
      <c r="L297">
        <v>0</v>
      </c>
    </row>
    <row r="298" spans="1:12" x14ac:dyDescent="0.2">
      <c r="A298" s="111" t="s">
        <v>378</v>
      </c>
      <c r="B298" s="132">
        <v>28</v>
      </c>
      <c r="C298" s="111">
        <v>180.34</v>
      </c>
      <c r="D298" s="111">
        <v>65.770840000000007</v>
      </c>
      <c r="E298" s="111">
        <v>71</v>
      </c>
      <c r="F298" s="111">
        <v>3</v>
      </c>
      <c r="G298" s="133">
        <v>0</v>
      </c>
      <c r="H298" s="111">
        <v>23</v>
      </c>
      <c r="I298" s="111">
        <v>1</v>
      </c>
      <c r="J298" s="111">
        <v>0</v>
      </c>
      <c r="K298" s="111">
        <v>0</v>
      </c>
      <c r="L298">
        <v>0</v>
      </c>
    </row>
    <row r="299" spans="1:12" x14ac:dyDescent="0.2">
      <c r="A299" s="111" t="s">
        <v>379</v>
      </c>
      <c r="B299" s="132">
        <v>46</v>
      </c>
      <c r="C299" s="111">
        <v>187.96</v>
      </c>
      <c r="D299" s="111">
        <v>156.48924</v>
      </c>
      <c r="E299" s="111">
        <v>75.852372000000003</v>
      </c>
      <c r="F299" s="111">
        <v>2</v>
      </c>
      <c r="G299" s="133">
        <v>0.5</v>
      </c>
      <c r="H299" s="111">
        <v>4.5</v>
      </c>
      <c r="I299" s="111">
        <v>0.5</v>
      </c>
      <c r="J299" s="111">
        <v>0.5</v>
      </c>
      <c r="K299" s="111">
        <v>0.5</v>
      </c>
      <c r="L299">
        <v>1</v>
      </c>
    </row>
    <row r="300" spans="1:12" x14ac:dyDescent="0.2">
      <c r="A300" s="111" t="s">
        <v>380</v>
      </c>
      <c r="B300" s="132">
        <v>44</v>
      </c>
      <c r="C300" s="111">
        <v>203.2</v>
      </c>
      <c r="D300" s="111">
        <v>120.20188</v>
      </c>
      <c r="E300" s="111">
        <v>81.882840000000002</v>
      </c>
      <c r="F300" s="111">
        <v>2</v>
      </c>
      <c r="G300" s="133">
        <v>0.5</v>
      </c>
      <c r="H300" s="111">
        <v>60.5</v>
      </c>
      <c r="I300" s="111">
        <v>0</v>
      </c>
      <c r="J300" s="111">
        <v>1</v>
      </c>
      <c r="K300" s="111">
        <v>0.5</v>
      </c>
      <c r="L300">
        <v>0</v>
      </c>
    </row>
    <row r="301" spans="1:12" x14ac:dyDescent="0.2">
      <c r="A301" s="111" t="s">
        <v>381</v>
      </c>
      <c r="B301" s="132">
        <v>31</v>
      </c>
      <c r="C301" s="111">
        <v>187.96</v>
      </c>
      <c r="D301" s="111">
        <v>77.110640000000004</v>
      </c>
      <c r="E301" s="111">
        <v>75.852372000000003</v>
      </c>
      <c r="F301" s="111">
        <v>2</v>
      </c>
      <c r="G301" s="133">
        <v>0.5</v>
      </c>
      <c r="H301" s="111">
        <v>14.5</v>
      </c>
      <c r="I301" s="111">
        <v>0</v>
      </c>
      <c r="J301" s="111">
        <v>0.5</v>
      </c>
      <c r="K301" s="111">
        <v>0</v>
      </c>
      <c r="L301">
        <v>0</v>
      </c>
    </row>
    <row r="302" spans="1:12" x14ac:dyDescent="0.2">
      <c r="A302" s="111" t="s">
        <v>382</v>
      </c>
      <c r="B302" s="132" t="s">
        <v>1596</v>
      </c>
      <c r="C302" s="111">
        <v>190.5</v>
      </c>
      <c r="D302" s="111">
        <v>113.398</v>
      </c>
      <c r="E302" s="111">
        <v>76.85745</v>
      </c>
      <c r="F302" s="111">
        <v>2</v>
      </c>
      <c r="G302" s="133">
        <v>0</v>
      </c>
      <c r="H302" s="111">
        <v>1</v>
      </c>
      <c r="I302" s="111">
        <v>0</v>
      </c>
      <c r="J302" s="111">
        <v>1</v>
      </c>
      <c r="K302" s="111">
        <v>0</v>
      </c>
      <c r="L302">
        <v>0</v>
      </c>
    </row>
    <row r="303" spans="1:12" x14ac:dyDescent="0.2">
      <c r="A303" s="111" t="s">
        <v>383</v>
      </c>
      <c r="B303" s="132">
        <v>34</v>
      </c>
      <c r="C303" s="111">
        <v>182.88</v>
      </c>
      <c r="D303" s="111">
        <v>77.110640000000004</v>
      </c>
      <c r="E303" s="111">
        <v>74</v>
      </c>
      <c r="F303" s="111">
        <v>10</v>
      </c>
      <c r="G303" s="133">
        <v>0.6</v>
      </c>
      <c r="H303" s="111">
        <v>30.4</v>
      </c>
      <c r="I303" s="111">
        <v>0.6</v>
      </c>
      <c r="J303" s="111">
        <v>0.3</v>
      </c>
      <c r="K303" s="111">
        <v>0</v>
      </c>
      <c r="L303">
        <v>0</v>
      </c>
    </row>
    <row r="304" spans="1:12" x14ac:dyDescent="0.2">
      <c r="A304" s="111" t="s">
        <v>384</v>
      </c>
      <c r="B304" s="132">
        <v>46</v>
      </c>
      <c r="C304" s="111">
        <v>180.34</v>
      </c>
      <c r="D304" s="111">
        <v>83.914519999999996</v>
      </c>
      <c r="E304" s="111">
        <v>74</v>
      </c>
      <c r="F304" s="111">
        <v>16</v>
      </c>
      <c r="G304" s="133">
        <v>0.5</v>
      </c>
      <c r="H304" s="111">
        <v>27</v>
      </c>
      <c r="I304" s="111">
        <v>0.875</v>
      </c>
      <c r="J304" s="111">
        <v>0.3125</v>
      </c>
      <c r="K304" s="111">
        <v>0.625</v>
      </c>
      <c r="L304">
        <v>0</v>
      </c>
    </row>
    <row r="305" spans="1:12" x14ac:dyDescent="0.2">
      <c r="A305" s="111" t="s">
        <v>385</v>
      </c>
      <c r="B305" s="132">
        <v>28</v>
      </c>
      <c r="C305" s="111">
        <v>177.8</v>
      </c>
      <c r="D305" s="111">
        <v>70.306759999999997</v>
      </c>
      <c r="E305" s="111">
        <v>71.832059999999998</v>
      </c>
      <c r="F305" s="111">
        <v>3</v>
      </c>
      <c r="G305" s="133">
        <v>0</v>
      </c>
      <c r="H305" s="111">
        <v>11.666666666666666</v>
      </c>
      <c r="I305" s="111">
        <v>1</v>
      </c>
      <c r="J305" s="111">
        <v>0</v>
      </c>
      <c r="K305" s="111">
        <v>0.66666666666666663</v>
      </c>
      <c r="L305">
        <v>0</v>
      </c>
    </row>
    <row r="306" spans="1:12" x14ac:dyDescent="0.2">
      <c r="A306" s="111" t="s">
        <v>386</v>
      </c>
      <c r="B306" s="132">
        <v>35</v>
      </c>
      <c r="C306" s="111">
        <v>185.42</v>
      </c>
      <c r="D306" s="111">
        <v>83.914519999999996</v>
      </c>
      <c r="E306" s="111">
        <v>74</v>
      </c>
      <c r="F306" s="111">
        <v>13</v>
      </c>
      <c r="G306" s="133">
        <v>0.46153846153846156</v>
      </c>
      <c r="H306" s="111">
        <v>22.923076923076923</v>
      </c>
      <c r="I306" s="111">
        <v>1.1538461538461537</v>
      </c>
      <c r="J306" s="111">
        <v>1.2307692307692308</v>
      </c>
      <c r="K306" s="111">
        <v>0.23076923076923078</v>
      </c>
      <c r="L306">
        <v>0</v>
      </c>
    </row>
    <row r="307" spans="1:12" x14ac:dyDescent="0.2">
      <c r="A307" s="111" t="s">
        <v>387</v>
      </c>
      <c r="B307" s="132">
        <v>58</v>
      </c>
      <c r="C307" s="111">
        <v>187.96</v>
      </c>
      <c r="D307" s="111">
        <v>113.398</v>
      </c>
      <c r="E307" s="111">
        <v>75.852372000000003</v>
      </c>
      <c r="F307" s="111">
        <v>10</v>
      </c>
      <c r="G307" s="133">
        <v>0.6</v>
      </c>
      <c r="H307" s="111">
        <v>3.7</v>
      </c>
      <c r="I307" s="111">
        <v>0.7</v>
      </c>
      <c r="J307" s="111">
        <v>0.4</v>
      </c>
      <c r="K307" s="111">
        <v>0.7</v>
      </c>
      <c r="L307">
        <v>1</v>
      </c>
    </row>
    <row r="308" spans="1:12" x14ac:dyDescent="0.2">
      <c r="A308" s="111" t="s">
        <v>1578</v>
      </c>
      <c r="B308" s="132">
        <v>32</v>
      </c>
      <c r="C308" s="111">
        <v>193.04</v>
      </c>
      <c r="D308" s="111">
        <v>92.986360000000005</v>
      </c>
      <c r="E308" s="111">
        <v>76</v>
      </c>
      <c r="F308" s="111">
        <v>1</v>
      </c>
      <c r="G308" s="133">
        <v>0</v>
      </c>
      <c r="H308" s="111">
        <v>24</v>
      </c>
      <c r="I308" s="111">
        <v>0</v>
      </c>
      <c r="J308" s="111">
        <v>2</v>
      </c>
      <c r="K308" s="111">
        <v>2</v>
      </c>
      <c r="L308">
        <v>0</v>
      </c>
    </row>
    <row r="309" spans="1:12" x14ac:dyDescent="0.2">
      <c r="A309" s="111" t="s">
        <v>388</v>
      </c>
      <c r="B309" s="132">
        <v>36</v>
      </c>
      <c r="C309" s="111">
        <v>175.26</v>
      </c>
      <c r="D309" s="111">
        <v>77.110640000000004</v>
      </c>
      <c r="E309" s="111">
        <v>70.826982000000001</v>
      </c>
      <c r="F309" s="111">
        <v>1</v>
      </c>
      <c r="G309" s="133">
        <v>0</v>
      </c>
      <c r="H309" s="111">
        <v>12</v>
      </c>
      <c r="I309" s="111">
        <v>1</v>
      </c>
      <c r="J309" s="111">
        <v>0</v>
      </c>
      <c r="K309" s="111">
        <v>0</v>
      </c>
      <c r="L309">
        <v>0</v>
      </c>
    </row>
    <row r="310" spans="1:12" x14ac:dyDescent="0.2">
      <c r="A310" s="111" t="s">
        <v>389</v>
      </c>
      <c r="B310" s="132">
        <v>37</v>
      </c>
      <c r="C310" s="111">
        <v>180.34</v>
      </c>
      <c r="D310" s="111">
        <v>92.986360000000005</v>
      </c>
      <c r="E310" s="111">
        <v>72</v>
      </c>
      <c r="F310" s="111">
        <v>7</v>
      </c>
      <c r="G310" s="133">
        <v>0.8571428571428571</v>
      </c>
      <c r="H310" s="111">
        <v>60.285714285714285</v>
      </c>
      <c r="I310" s="111">
        <v>1.5714285714285714</v>
      </c>
      <c r="J310" s="111">
        <v>0.7142857142857143</v>
      </c>
      <c r="K310" s="111">
        <v>2.4285714285714284</v>
      </c>
      <c r="L310">
        <v>0</v>
      </c>
    </row>
    <row r="311" spans="1:12" x14ac:dyDescent="0.2">
      <c r="A311" s="111" t="s">
        <v>390</v>
      </c>
      <c r="B311" s="132">
        <v>30</v>
      </c>
      <c r="C311" s="111">
        <v>182.88</v>
      </c>
      <c r="D311" s="111">
        <v>70.306759999999997</v>
      </c>
      <c r="E311" s="111">
        <v>72</v>
      </c>
      <c r="F311" s="111">
        <v>2</v>
      </c>
      <c r="G311" s="133">
        <v>0</v>
      </c>
      <c r="H311" s="111">
        <v>19</v>
      </c>
      <c r="I311" s="111">
        <v>0</v>
      </c>
      <c r="J311" s="111">
        <v>0.5</v>
      </c>
      <c r="K311" s="111">
        <v>0</v>
      </c>
      <c r="L311">
        <v>0</v>
      </c>
    </row>
    <row r="312" spans="1:12" x14ac:dyDescent="0.2">
      <c r="A312" s="111" t="s">
        <v>391</v>
      </c>
      <c r="B312" s="132">
        <v>26</v>
      </c>
      <c r="C312" s="111">
        <v>182.88</v>
      </c>
      <c r="D312" s="111">
        <v>65.770840000000007</v>
      </c>
      <c r="E312" s="111">
        <v>75</v>
      </c>
      <c r="F312" s="111">
        <v>4</v>
      </c>
      <c r="G312" s="133">
        <v>0.5</v>
      </c>
      <c r="H312" s="111">
        <v>37.75</v>
      </c>
      <c r="I312" s="111">
        <v>0.25</v>
      </c>
      <c r="J312" s="111">
        <v>0</v>
      </c>
      <c r="K312" s="111">
        <v>0</v>
      </c>
      <c r="L312">
        <v>0</v>
      </c>
    </row>
    <row r="313" spans="1:12" x14ac:dyDescent="0.2">
      <c r="A313" s="111" t="s">
        <v>392</v>
      </c>
      <c r="B313" s="132">
        <v>32</v>
      </c>
      <c r="C313" s="111">
        <v>185.42</v>
      </c>
      <c r="D313" s="111">
        <v>92.986360000000005</v>
      </c>
      <c r="E313" s="111">
        <v>75</v>
      </c>
      <c r="F313" s="111">
        <v>1</v>
      </c>
      <c r="G313" s="133">
        <v>0</v>
      </c>
      <c r="H313" s="111">
        <v>6</v>
      </c>
      <c r="I313" s="111">
        <v>0</v>
      </c>
      <c r="J313" s="111">
        <v>0</v>
      </c>
      <c r="K313" s="111">
        <v>1</v>
      </c>
      <c r="L313">
        <v>0</v>
      </c>
    </row>
    <row r="314" spans="1:12" x14ac:dyDescent="0.2">
      <c r="A314" s="111" t="s">
        <v>393</v>
      </c>
      <c r="B314" s="132">
        <v>39</v>
      </c>
      <c r="C314" s="111">
        <v>182.88</v>
      </c>
      <c r="D314" s="111">
        <v>83.914519999999996</v>
      </c>
      <c r="E314" s="111">
        <v>70</v>
      </c>
      <c r="F314" s="111">
        <v>4</v>
      </c>
      <c r="G314" s="133">
        <v>0.75</v>
      </c>
      <c r="H314" s="111">
        <v>37.75</v>
      </c>
      <c r="I314" s="111">
        <v>1.5</v>
      </c>
      <c r="J314" s="111">
        <v>0.25</v>
      </c>
      <c r="K314" s="111">
        <v>2.5</v>
      </c>
      <c r="L314">
        <v>1</v>
      </c>
    </row>
    <row r="315" spans="1:12" x14ac:dyDescent="0.2">
      <c r="A315" s="111" t="s">
        <v>394</v>
      </c>
      <c r="B315" s="132">
        <v>34</v>
      </c>
      <c r="C315" s="111">
        <v>182.88</v>
      </c>
      <c r="D315" s="111">
        <v>112.03722399999999</v>
      </c>
      <c r="E315" s="111">
        <v>74</v>
      </c>
      <c r="F315" s="111">
        <v>4</v>
      </c>
      <c r="G315" s="133">
        <v>0.5</v>
      </c>
      <c r="H315" s="111">
        <v>27.5</v>
      </c>
      <c r="I315" s="111">
        <v>0.75</v>
      </c>
      <c r="J315" s="111">
        <v>0.25</v>
      </c>
      <c r="K315" s="111">
        <v>0.25</v>
      </c>
      <c r="L315">
        <v>1</v>
      </c>
    </row>
    <row r="316" spans="1:12" x14ac:dyDescent="0.2">
      <c r="A316" s="111" t="s">
        <v>395</v>
      </c>
      <c r="B316" s="132">
        <v>31</v>
      </c>
      <c r="C316" s="111">
        <v>170.18</v>
      </c>
      <c r="D316" s="111">
        <v>65.770840000000007</v>
      </c>
      <c r="E316" s="111">
        <v>69</v>
      </c>
      <c r="F316" s="111">
        <v>7</v>
      </c>
      <c r="G316" s="133">
        <v>0.42857142857142855</v>
      </c>
      <c r="H316" s="111">
        <v>22</v>
      </c>
      <c r="I316" s="111">
        <v>0.7142857142857143</v>
      </c>
      <c r="J316" s="111">
        <v>1</v>
      </c>
      <c r="K316" s="111">
        <v>1.2857142857142858</v>
      </c>
      <c r="L316">
        <v>0</v>
      </c>
    </row>
    <row r="317" spans="1:12" x14ac:dyDescent="0.2">
      <c r="A317" s="111" t="s">
        <v>396</v>
      </c>
      <c r="B317" s="132">
        <v>36</v>
      </c>
      <c r="C317" s="111">
        <v>177.8</v>
      </c>
      <c r="D317" s="111">
        <v>77.110640000000004</v>
      </c>
      <c r="E317" s="111">
        <v>74</v>
      </c>
      <c r="F317" s="111">
        <v>7</v>
      </c>
      <c r="G317" s="133">
        <v>0.42857142857142855</v>
      </c>
      <c r="H317" s="111">
        <v>7</v>
      </c>
      <c r="I317" s="111">
        <v>1.5714285714285714</v>
      </c>
      <c r="J317" s="111">
        <v>1.5714285714285714</v>
      </c>
      <c r="K317" s="111">
        <v>1.4285714285714286</v>
      </c>
      <c r="L317">
        <v>1</v>
      </c>
    </row>
    <row r="318" spans="1:12" x14ac:dyDescent="0.2">
      <c r="A318" s="111" t="s">
        <v>397</v>
      </c>
      <c r="B318" s="132">
        <v>34</v>
      </c>
      <c r="C318" s="111">
        <v>175.26</v>
      </c>
      <c r="D318" s="111">
        <v>83.914519999999996</v>
      </c>
      <c r="E318" s="111">
        <v>73</v>
      </c>
      <c r="F318" s="111">
        <v>6</v>
      </c>
      <c r="G318" s="133">
        <v>0.33333333333333331</v>
      </c>
      <c r="H318" s="111">
        <v>15.666666666666666</v>
      </c>
      <c r="I318" s="111">
        <v>0.16666666666666666</v>
      </c>
      <c r="J318" s="111">
        <v>0.33333333333333331</v>
      </c>
      <c r="K318" s="111">
        <v>0.66666666666666663</v>
      </c>
      <c r="L318">
        <v>0</v>
      </c>
    </row>
    <row r="319" spans="1:12" x14ac:dyDescent="0.2">
      <c r="A319" s="111" t="s">
        <v>398</v>
      </c>
      <c r="B319" s="132">
        <v>36</v>
      </c>
      <c r="C319" s="111">
        <v>185.42</v>
      </c>
      <c r="D319" s="111">
        <v>77.110640000000004</v>
      </c>
      <c r="E319" s="111">
        <v>74.847294000000005</v>
      </c>
      <c r="F319" s="111">
        <v>2</v>
      </c>
      <c r="G319" s="133">
        <v>0</v>
      </c>
      <c r="H319" s="111">
        <v>28.5</v>
      </c>
      <c r="I319" s="111">
        <v>0.5</v>
      </c>
      <c r="J319" s="111">
        <v>0</v>
      </c>
      <c r="K319" s="111">
        <v>0</v>
      </c>
      <c r="L319">
        <v>0</v>
      </c>
    </row>
    <row r="320" spans="1:12" x14ac:dyDescent="0.2">
      <c r="A320" s="111" t="s">
        <v>399</v>
      </c>
      <c r="B320" s="132">
        <v>33</v>
      </c>
      <c r="C320" s="111">
        <v>185.42</v>
      </c>
      <c r="D320" s="111">
        <v>83.914519999999996</v>
      </c>
      <c r="E320" s="111">
        <v>74.847294000000005</v>
      </c>
      <c r="F320" s="111">
        <v>1</v>
      </c>
      <c r="G320" s="133">
        <v>0</v>
      </c>
      <c r="H320" s="111">
        <v>43</v>
      </c>
      <c r="I320" s="111">
        <v>1</v>
      </c>
      <c r="J320" s="111">
        <v>1</v>
      </c>
      <c r="K320" s="111">
        <v>1</v>
      </c>
      <c r="L320">
        <v>0</v>
      </c>
    </row>
    <row r="321" spans="1:12" x14ac:dyDescent="0.2">
      <c r="A321" s="111" t="s">
        <v>400</v>
      </c>
      <c r="B321" s="132" t="s">
        <v>1596</v>
      </c>
      <c r="C321" s="111">
        <v>180.34</v>
      </c>
      <c r="D321" s="111">
        <v>70.306759999999997</v>
      </c>
      <c r="E321" s="111">
        <v>72.837137999999996</v>
      </c>
      <c r="F321" s="111">
        <v>2</v>
      </c>
      <c r="G321" s="133">
        <v>0</v>
      </c>
      <c r="H321" s="111">
        <v>29.5</v>
      </c>
      <c r="I321" s="111">
        <v>0</v>
      </c>
      <c r="J321" s="111">
        <v>0</v>
      </c>
      <c r="K321" s="111">
        <v>0</v>
      </c>
      <c r="L321">
        <v>0</v>
      </c>
    </row>
    <row r="322" spans="1:12" x14ac:dyDescent="0.2">
      <c r="A322" s="111" t="s">
        <v>401</v>
      </c>
      <c r="B322" s="132">
        <v>37</v>
      </c>
      <c r="C322" s="111">
        <v>175.26</v>
      </c>
      <c r="D322" s="111">
        <v>70.306759999999997</v>
      </c>
      <c r="E322" s="111">
        <v>71</v>
      </c>
      <c r="F322" s="111">
        <v>14</v>
      </c>
      <c r="G322" s="133">
        <v>0.5</v>
      </c>
      <c r="H322" s="111">
        <v>33.642857142857146</v>
      </c>
      <c r="I322" s="111">
        <v>2.2142857142857144</v>
      </c>
      <c r="J322" s="111">
        <v>0.21428571428571427</v>
      </c>
      <c r="K322" s="111">
        <v>1.6428571428571428</v>
      </c>
      <c r="L322">
        <v>0</v>
      </c>
    </row>
    <row r="323" spans="1:12" x14ac:dyDescent="0.2">
      <c r="A323" s="111" t="s">
        <v>402</v>
      </c>
      <c r="B323" s="132">
        <v>31</v>
      </c>
      <c r="C323" s="111">
        <v>167.64</v>
      </c>
      <c r="D323" s="111">
        <v>56.698999999999998</v>
      </c>
      <c r="E323" s="111">
        <v>67</v>
      </c>
      <c r="F323" s="111">
        <v>4</v>
      </c>
      <c r="G323" s="133">
        <v>0.25</v>
      </c>
      <c r="H323" s="111">
        <v>48.25</v>
      </c>
      <c r="I323" s="111">
        <v>3.5</v>
      </c>
      <c r="J323" s="111">
        <v>0</v>
      </c>
      <c r="K323" s="111">
        <v>0.75</v>
      </c>
      <c r="L323">
        <v>0</v>
      </c>
    </row>
    <row r="324" spans="1:12" x14ac:dyDescent="0.2">
      <c r="A324" s="111" t="s">
        <v>403</v>
      </c>
      <c r="B324" s="132">
        <v>30</v>
      </c>
      <c r="C324" s="111">
        <v>187.96</v>
      </c>
      <c r="D324" s="111">
        <v>77.110640000000004</v>
      </c>
      <c r="E324" s="111">
        <v>74</v>
      </c>
      <c r="F324" s="111">
        <v>2</v>
      </c>
      <c r="G324" s="133">
        <v>0</v>
      </c>
      <c r="H324" s="111">
        <v>38</v>
      </c>
      <c r="I324" s="111">
        <v>0</v>
      </c>
      <c r="J324" s="111">
        <v>3</v>
      </c>
      <c r="K324" s="111">
        <v>0.5</v>
      </c>
      <c r="L324">
        <v>0</v>
      </c>
    </row>
    <row r="325" spans="1:12" x14ac:dyDescent="0.2">
      <c r="A325" s="111" t="s">
        <v>404</v>
      </c>
      <c r="B325" s="132" t="s">
        <v>1596</v>
      </c>
      <c r="C325" s="111">
        <v>185.42</v>
      </c>
      <c r="D325" s="111">
        <v>77.110640000000004</v>
      </c>
      <c r="E325" s="111">
        <v>74</v>
      </c>
      <c r="F325" s="111">
        <v>1</v>
      </c>
      <c r="G325" s="133">
        <v>1</v>
      </c>
      <c r="H325" s="111">
        <v>6</v>
      </c>
      <c r="I325" s="111">
        <v>0</v>
      </c>
      <c r="J325" s="111">
        <v>1</v>
      </c>
      <c r="K325" s="111">
        <v>0</v>
      </c>
      <c r="L325">
        <v>1</v>
      </c>
    </row>
    <row r="326" spans="1:12" x14ac:dyDescent="0.2">
      <c r="A326" s="111" t="s">
        <v>405</v>
      </c>
      <c r="B326" s="132">
        <v>42</v>
      </c>
      <c r="C326" s="111">
        <v>185.42</v>
      </c>
      <c r="D326" s="111">
        <v>83.914519999999996</v>
      </c>
      <c r="E326" s="111">
        <v>74.847294000000005</v>
      </c>
      <c r="F326" s="111">
        <v>1</v>
      </c>
      <c r="G326" s="133">
        <v>0</v>
      </c>
      <c r="H326" s="111">
        <v>34</v>
      </c>
      <c r="I326" s="111">
        <v>0</v>
      </c>
      <c r="J326" s="111">
        <v>0</v>
      </c>
      <c r="K326" s="111">
        <v>0</v>
      </c>
      <c r="L326">
        <v>1</v>
      </c>
    </row>
    <row r="327" spans="1:12" x14ac:dyDescent="0.2">
      <c r="A327" s="111" t="s">
        <v>406</v>
      </c>
      <c r="B327" s="132">
        <v>31</v>
      </c>
      <c r="C327" s="111">
        <v>172.72</v>
      </c>
      <c r="D327" s="111">
        <v>70.306759999999997</v>
      </c>
      <c r="E327" s="111">
        <v>72</v>
      </c>
      <c r="F327" s="111">
        <v>13</v>
      </c>
      <c r="G327" s="133">
        <v>0.46153846153846156</v>
      </c>
      <c r="H327" s="111">
        <v>28.923076923076923</v>
      </c>
      <c r="I327" s="111">
        <v>1.2307692307692308</v>
      </c>
      <c r="J327" s="111">
        <v>0.15384615384615385</v>
      </c>
      <c r="K327" s="111">
        <v>0.46153846153846156</v>
      </c>
      <c r="L327">
        <v>0</v>
      </c>
    </row>
    <row r="328" spans="1:12" x14ac:dyDescent="0.2">
      <c r="A328" s="111" t="s">
        <v>407</v>
      </c>
      <c r="B328" s="132">
        <v>54</v>
      </c>
      <c r="C328" s="111">
        <v>172.72</v>
      </c>
      <c r="D328" s="111">
        <v>87.996848</v>
      </c>
      <c r="E328" s="111">
        <v>69.821904000000004</v>
      </c>
      <c r="F328" s="111">
        <v>1</v>
      </c>
      <c r="G328" s="133">
        <v>0</v>
      </c>
      <c r="H328" s="111">
        <v>4</v>
      </c>
      <c r="I328" s="111">
        <v>1</v>
      </c>
      <c r="J328" s="111">
        <v>0</v>
      </c>
      <c r="K328" s="111">
        <v>2</v>
      </c>
      <c r="L328">
        <v>0</v>
      </c>
    </row>
    <row r="329" spans="1:12" x14ac:dyDescent="0.2">
      <c r="A329" s="111" t="s">
        <v>408</v>
      </c>
      <c r="B329" s="132">
        <v>29</v>
      </c>
      <c r="C329" s="111">
        <v>167.64</v>
      </c>
      <c r="D329" s="111">
        <v>56.698999999999998</v>
      </c>
      <c r="E329" s="111">
        <v>67</v>
      </c>
      <c r="F329" s="111">
        <v>3</v>
      </c>
      <c r="G329" s="133">
        <v>0</v>
      </c>
      <c r="H329" s="111">
        <v>13.333333333333334</v>
      </c>
      <c r="I329" s="111">
        <v>0.33333333333333331</v>
      </c>
      <c r="J329" s="111">
        <v>0.66666666666666663</v>
      </c>
      <c r="K329" s="111">
        <v>0</v>
      </c>
      <c r="L329">
        <v>1</v>
      </c>
    </row>
    <row r="330" spans="1:12" x14ac:dyDescent="0.2">
      <c r="A330" s="111" t="s">
        <v>409</v>
      </c>
      <c r="B330" s="132">
        <v>32</v>
      </c>
      <c r="C330" s="111">
        <v>177.8</v>
      </c>
      <c r="D330" s="111">
        <v>65.770840000000007</v>
      </c>
      <c r="E330" s="111">
        <v>71</v>
      </c>
      <c r="F330" s="111">
        <v>13</v>
      </c>
      <c r="G330" s="133">
        <v>0.69230769230769229</v>
      </c>
      <c r="H330" s="111">
        <v>30.307692307692307</v>
      </c>
      <c r="I330" s="111">
        <v>1.6923076923076923</v>
      </c>
      <c r="J330" s="111">
        <v>1.3076923076923077</v>
      </c>
      <c r="K330" s="111">
        <v>2.3076923076923075</v>
      </c>
      <c r="L330">
        <v>0</v>
      </c>
    </row>
    <row r="331" spans="1:12" x14ac:dyDescent="0.2">
      <c r="A331" s="111" t="s">
        <v>410</v>
      </c>
      <c r="B331" s="132">
        <v>24</v>
      </c>
      <c r="C331" s="111">
        <v>182.88</v>
      </c>
      <c r="D331" s="111">
        <v>77.110640000000004</v>
      </c>
      <c r="E331" s="111">
        <v>74</v>
      </c>
      <c r="F331" s="111">
        <v>2</v>
      </c>
      <c r="G331" s="133">
        <v>0.5</v>
      </c>
      <c r="H331" s="111">
        <v>37</v>
      </c>
      <c r="I331" s="111">
        <v>0</v>
      </c>
      <c r="J331" s="111">
        <v>0</v>
      </c>
      <c r="K331" s="111">
        <v>0.5</v>
      </c>
      <c r="L331">
        <v>1</v>
      </c>
    </row>
    <row r="332" spans="1:12" x14ac:dyDescent="0.2">
      <c r="A332" s="111" t="s">
        <v>411</v>
      </c>
      <c r="B332" s="132">
        <v>37</v>
      </c>
      <c r="C332" s="111">
        <v>167.64</v>
      </c>
      <c r="D332" s="111">
        <v>56.698999999999998</v>
      </c>
      <c r="E332" s="111">
        <v>64</v>
      </c>
      <c r="F332" s="111">
        <v>4</v>
      </c>
      <c r="G332" s="133">
        <v>0.5</v>
      </c>
      <c r="H332" s="111">
        <v>16.5</v>
      </c>
      <c r="I332" s="111">
        <v>1</v>
      </c>
      <c r="J332" s="111">
        <v>0.75</v>
      </c>
      <c r="K332" s="111">
        <v>1</v>
      </c>
      <c r="L332">
        <v>0</v>
      </c>
    </row>
    <row r="333" spans="1:12" x14ac:dyDescent="0.2">
      <c r="A333" s="111" t="s">
        <v>412</v>
      </c>
      <c r="B333" s="132">
        <v>31</v>
      </c>
      <c r="C333" s="111">
        <v>187.96</v>
      </c>
      <c r="D333" s="111">
        <v>99.790239999999997</v>
      </c>
      <c r="E333" s="111">
        <v>75.852372000000003</v>
      </c>
      <c r="F333" s="111">
        <v>1</v>
      </c>
      <c r="G333" s="133">
        <v>0</v>
      </c>
      <c r="H333" s="111">
        <v>16</v>
      </c>
      <c r="I333" s="111">
        <v>0</v>
      </c>
      <c r="J333" s="111">
        <v>1</v>
      </c>
      <c r="K333" s="111">
        <v>2</v>
      </c>
      <c r="L333">
        <v>0</v>
      </c>
    </row>
    <row r="334" spans="1:12" x14ac:dyDescent="0.2">
      <c r="A334" s="111" t="s">
        <v>413</v>
      </c>
      <c r="B334" s="132">
        <v>28</v>
      </c>
      <c r="C334" s="111">
        <v>170.18</v>
      </c>
      <c r="D334" s="111">
        <v>65.770840000000007</v>
      </c>
      <c r="E334" s="111">
        <v>70</v>
      </c>
      <c r="F334" s="111">
        <v>2</v>
      </c>
      <c r="G334" s="133">
        <v>0</v>
      </c>
      <c r="H334" s="111">
        <v>9</v>
      </c>
      <c r="I334" s="111">
        <v>0.5</v>
      </c>
      <c r="J334" s="111">
        <v>0.5</v>
      </c>
      <c r="K334" s="111">
        <v>0</v>
      </c>
      <c r="L334">
        <v>0</v>
      </c>
    </row>
    <row r="335" spans="1:12" x14ac:dyDescent="0.2">
      <c r="A335" s="111" t="s">
        <v>414</v>
      </c>
      <c r="B335" s="132">
        <v>48</v>
      </c>
      <c r="C335" s="111">
        <v>187.96</v>
      </c>
      <c r="D335" s="111">
        <v>113.398</v>
      </c>
      <c r="E335" s="111">
        <v>75.852372000000003</v>
      </c>
      <c r="F335" s="111">
        <v>5</v>
      </c>
      <c r="G335" s="133">
        <v>0.6</v>
      </c>
      <c r="H335" s="111">
        <v>8</v>
      </c>
      <c r="I335" s="111">
        <v>1.2</v>
      </c>
      <c r="J335" s="111">
        <v>0</v>
      </c>
      <c r="K335" s="111">
        <v>0.8</v>
      </c>
      <c r="L335">
        <v>0</v>
      </c>
    </row>
    <row r="336" spans="1:12" x14ac:dyDescent="0.2">
      <c r="A336" s="111" t="s">
        <v>415</v>
      </c>
      <c r="B336" s="132" t="s">
        <v>1596</v>
      </c>
      <c r="C336" s="111">
        <v>180.34</v>
      </c>
      <c r="D336" s="111">
        <v>61.234920000000002</v>
      </c>
      <c r="E336" s="111">
        <v>72.837137999999996</v>
      </c>
      <c r="F336" s="111">
        <v>1</v>
      </c>
      <c r="G336" s="133">
        <v>0</v>
      </c>
      <c r="H336" s="111">
        <v>25</v>
      </c>
      <c r="I336" s="111">
        <v>0</v>
      </c>
      <c r="J336" s="111">
        <v>2</v>
      </c>
      <c r="K336" s="111">
        <v>0</v>
      </c>
      <c r="L336">
        <v>0</v>
      </c>
    </row>
    <row r="337" spans="1:12" x14ac:dyDescent="0.2">
      <c r="A337" s="111" t="s">
        <v>416</v>
      </c>
      <c r="B337" s="132">
        <v>32</v>
      </c>
      <c r="C337" s="111">
        <v>193.04</v>
      </c>
      <c r="D337" s="111">
        <v>109.76926400000001</v>
      </c>
      <c r="E337" s="111">
        <v>76</v>
      </c>
      <c r="F337" s="111">
        <v>5</v>
      </c>
      <c r="G337" s="133">
        <v>0.2</v>
      </c>
      <c r="H337" s="111">
        <v>25</v>
      </c>
      <c r="I337" s="111">
        <v>0.6</v>
      </c>
      <c r="J337" s="111">
        <v>0</v>
      </c>
      <c r="K337" s="111">
        <v>0.2</v>
      </c>
      <c r="L337">
        <v>0</v>
      </c>
    </row>
    <row r="338" spans="1:12" x14ac:dyDescent="0.2">
      <c r="A338" s="111" t="s">
        <v>417</v>
      </c>
      <c r="B338" s="132">
        <v>42</v>
      </c>
      <c r="C338" s="111">
        <v>177.8</v>
      </c>
      <c r="D338" s="111">
        <v>77.110640000000004</v>
      </c>
      <c r="E338" s="111">
        <v>71.832059999999998</v>
      </c>
      <c r="F338" s="111">
        <v>6</v>
      </c>
      <c r="G338" s="133">
        <v>0.33333333333333331</v>
      </c>
      <c r="H338" s="111">
        <v>23.833333333333332</v>
      </c>
      <c r="I338" s="111">
        <v>0.33333333333333331</v>
      </c>
      <c r="J338" s="111">
        <v>2</v>
      </c>
      <c r="K338" s="111">
        <v>0.33333333333333331</v>
      </c>
      <c r="L338">
        <v>0</v>
      </c>
    </row>
    <row r="339" spans="1:12" x14ac:dyDescent="0.2">
      <c r="A339" s="111" t="s">
        <v>418</v>
      </c>
      <c r="B339" s="132">
        <v>37</v>
      </c>
      <c r="C339" s="111">
        <v>185.42</v>
      </c>
      <c r="D339" s="111">
        <v>77.110640000000004</v>
      </c>
      <c r="E339" s="111">
        <v>74.847294000000005</v>
      </c>
      <c r="F339" s="111">
        <v>1</v>
      </c>
      <c r="G339" s="133">
        <v>0</v>
      </c>
      <c r="H339" s="111">
        <v>0</v>
      </c>
      <c r="I339" s="111">
        <v>0</v>
      </c>
      <c r="J339" s="111">
        <v>0</v>
      </c>
      <c r="K339" s="111">
        <v>0</v>
      </c>
      <c r="L339">
        <v>0</v>
      </c>
    </row>
    <row r="340" spans="1:12" x14ac:dyDescent="0.2">
      <c r="A340" s="111" t="s">
        <v>419</v>
      </c>
      <c r="B340" s="132">
        <v>47</v>
      </c>
      <c r="C340" s="111">
        <v>177.8</v>
      </c>
      <c r="D340" s="111">
        <v>77.110640000000004</v>
      </c>
      <c r="E340" s="111">
        <v>71.832059999999998</v>
      </c>
      <c r="F340" s="111">
        <v>2</v>
      </c>
      <c r="G340" s="133">
        <v>0.5</v>
      </c>
      <c r="H340" s="111">
        <v>31</v>
      </c>
      <c r="I340" s="111">
        <v>0.5</v>
      </c>
      <c r="J340" s="111">
        <v>0</v>
      </c>
      <c r="K340" s="111">
        <v>0.5</v>
      </c>
      <c r="L340">
        <v>0</v>
      </c>
    </row>
    <row r="341" spans="1:12" x14ac:dyDescent="0.2">
      <c r="A341" s="111" t="s">
        <v>420</v>
      </c>
      <c r="B341" s="132">
        <v>31</v>
      </c>
      <c r="C341" s="111">
        <v>172.72</v>
      </c>
      <c r="D341" s="111">
        <v>61.234920000000002</v>
      </c>
      <c r="E341" s="111">
        <v>69</v>
      </c>
      <c r="F341" s="111">
        <v>1</v>
      </c>
      <c r="G341" s="133">
        <v>0</v>
      </c>
      <c r="H341" s="111">
        <v>18</v>
      </c>
      <c r="I341" s="111">
        <v>0</v>
      </c>
      <c r="J341" s="111">
        <v>0</v>
      </c>
      <c r="K341" s="111">
        <v>0</v>
      </c>
      <c r="L341">
        <v>0</v>
      </c>
    </row>
    <row r="342" spans="1:12" x14ac:dyDescent="0.2">
      <c r="A342" s="111" t="s">
        <v>421</v>
      </c>
      <c r="B342" s="132">
        <v>51</v>
      </c>
      <c r="C342" s="111">
        <v>182.88</v>
      </c>
      <c r="D342" s="111">
        <v>120.20188</v>
      </c>
      <c r="E342" s="111">
        <v>73.842215999999993</v>
      </c>
      <c r="F342" s="111">
        <v>15</v>
      </c>
      <c r="G342" s="133">
        <v>0.4</v>
      </c>
      <c r="H342" s="111">
        <v>9.2666666666666675</v>
      </c>
      <c r="I342" s="111">
        <v>0.4</v>
      </c>
      <c r="J342" s="111">
        <v>0.2</v>
      </c>
      <c r="K342" s="111">
        <v>0.53333333333333333</v>
      </c>
      <c r="L342">
        <v>0</v>
      </c>
    </row>
    <row r="343" spans="1:12" x14ac:dyDescent="0.2">
      <c r="A343" s="111" t="s">
        <v>422</v>
      </c>
      <c r="B343" s="132" t="s">
        <v>1596</v>
      </c>
      <c r="C343" s="111">
        <v>167.64</v>
      </c>
      <c r="D343" s="111">
        <v>70.306759999999997</v>
      </c>
      <c r="E343" s="111">
        <v>67.811747999999994</v>
      </c>
      <c r="F343" s="111">
        <v>1</v>
      </c>
      <c r="G343" s="133">
        <v>0</v>
      </c>
      <c r="H343" s="111">
        <v>7</v>
      </c>
      <c r="I343" s="111">
        <v>0</v>
      </c>
      <c r="J343" s="111">
        <v>1</v>
      </c>
      <c r="K343" s="111">
        <v>0</v>
      </c>
      <c r="L343">
        <v>0</v>
      </c>
    </row>
    <row r="344" spans="1:12" x14ac:dyDescent="0.2">
      <c r="A344" s="111" t="s">
        <v>423</v>
      </c>
      <c r="B344" s="132">
        <v>37</v>
      </c>
      <c r="C344" s="111">
        <v>177.8</v>
      </c>
      <c r="D344" s="111">
        <v>70.306759999999997</v>
      </c>
      <c r="E344" s="111">
        <v>71</v>
      </c>
      <c r="F344" s="111">
        <v>3</v>
      </c>
      <c r="G344" s="133">
        <v>0.33333333333333331</v>
      </c>
      <c r="H344" s="111">
        <v>13.666666666666666</v>
      </c>
      <c r="I344" s="111">
        <v>2.3333333333333335</v>
      </c>
      <c r="J344" s="111">
        <v>0</v>
      </c>
      <c r="K344" s="111">
        <v>0.66666666666666663</v>
      </c>
      <c r="L344">
        <v>0</v>
      </c>
    </row>
    <row r="345" spans="1:12" x14ac:dyDescent="0.2">
      <c r="A345" s="111" t="s">
        <v>424</v>
      </c>
      <c r="B345" s="132">
        <v>35</v>
      </c>
      <c r="C345" s="111">
        <v>185.42</v>
      </c>
      <c r="D345" s="111">
        <v>83.914519999999996</v>
      </c>
      <c r="E345" s="111">
        <v>79</v>
      </c>
      <c r="F345" s="111">
        <v>4</v>
      </c>
      <c r="G345" s="133">
        <v>0.5</v>
      </c>
      <c r="H345" s="111">
        <v>14.25</v>
      </c>
      <c r="I345" s="111">
        <v>2</v>
      </c>
      <c r="J345" s="111">
        <v>0</v>
      </c>
      <c r="K345" s="111">
        <v>2.5</v>
      </c>
      <c r="L345">
        <v>0</v>
      </c>
    </row>
    <row r="346" spans="1:12" x14ac:dyDescent="0.2">
      <c r="A346" s="111" t="s">
        <v>425</v>
      </c>
      <c r="B346" s="132" t="s">
        <v>1596</v>
      </c>
      <c r="C346" s="111">
        <v>187.96</v>
      </c>
      <c r="D346" s="111">
        <v>90.718400000000003</v>
      </c>
      <c r="E346" s="111">
        <v>75.852372000000003</v>
      </c>
      <c r="F346" s="111">
        <v>1</v>
      </c>
      <c r="G346" s="133">
        <v>0</v>
      </c>
      <c r="H346" s="111">
        <v>10</v>
      </c>
      <c r="I346" s="111">
        <v>0</v>
      </c>
      <c r="J346" s="111">
        <v>0</v>
      </c>
      <c r="K346" s="111">
        <v>0</v>
      </c>
      <c r="L346">
        <v>0</v>
      </c>
    </row>
    <row r="347" spans="1:12" x14ac:dyDescent="0.2">
      <c r="A347" s="111" t="s">
        <v>426</v>
      </c>
      <c r="B347" s="132">
        <v>40</v>
      </c>
      <c r="C347" s="111">
        <v>180.34</v>
      </c>
      <c r="D347" s="111">
        <v>92.986360000000005</v>
      </c>
      <c r="E347" s="111">
        <v>72</v>
      </c>
      <c r="F347" s="111">
        <v>5</v>
      </c>
      <c r="G347" s="133">
        <v>0.4</v>
      </c>
      <c r="H347" s="111">
        <v>13.6</v>
      </c>
      <c r="I347" s="111">
        <v>0.2</v>
      </c>
      <c r="J347" s="111">
        <v>0.6</v>
      </c>
      <c r="K347" s="111">
        <v>0.4</v>
      </c>
      <c r="L347">
        <v>0</v>
      </c>
    </row>
    <row r="348" spans="1:12" x14ac:dyDescent="0.2">
      <c r="A348" s="111" t="s">
        <v>427</v>
      </c>
      <c r="B348" s="132" t="s">
        <v>1596</v>
      </c>
      <c r="C348" s="111">
        <v>182.88</v>
      </c>
      <c r="D348" s="111">
        <v>90.718400000000003</v>
      </c>
      <c r="E348" s="111">
        <v>73.842215999999993</v>
      </c>
      <c r="F348" s="111">
        <v>1</v>
      </c>
      <c r="G348" s="133">
        <v>0</v>
      </c>
      <c r="H348" s="111">
        <v>2</v>
      </c>
      <c r="I348" s="111">
        <v>0</v>
      </c>
      <c r="J348" s="111">
        <v>0</v>
      </c>
      <c r="K348" s="111">
        <v>0</v>
      </c>
      <c r="L348">
        <v>0</v>
      </c>
    </row>
    <row r="349" spans="1:12" x14ac:dyDescent="0.2">
      <c r="A349" s="111" t="s">
        <v>428</v>
      </c>
      <c r="B349" s="132" t="s">
        <v>1596</v>
      </c>
      <c r="C349" s="111">
        <v>170.18</v>
      </c>
      <c r="D349" s="111">
        <v>70.306759999999997</v>
      </c>
      <c r="E349" s="111">
        <v>68.816826000000006</v>
      </c>
      <c r="F349" s="111">
        <v>2</v>
      </c>
      <c r="G349" s="133">
        <v>0</v>
      </c>
      <c r="H349" s="111">
        <v>31</v>
      </c>
      <c r="I349" s="111">
        <v>3.5</v>
      </c>
      <c r="J349" s="111">
        <v>0.5</v>
      </c>
      <c r="K349" s="111">
        <v>1</v>
      </c>
      <c r="L349">
        <v>0</v>
      </c>
    </row>
    <row r="350" spans="1:12" x14ac:dyDescent="0.2">
      <c r="A350" s="111" t="s">
        <v>429</v>
      </c>
      <c r="B350" s="132" t="s">
        <v>1596</v>
      </c>
      <c r="C350" s="111">
        <v>177.8</v>
      </c>
      <c r="D350" s="111">
        <v>70.306759999999997</v>
      </c>
      <c r="E350" s="111">
        <v>71.832059999999998</v>
      </c>
      <c r="F350" s="111">
        <v>2</v>
      </c>
      <c r="G350" s="133">
        <v>0</v>
      </c>
      <c r="H350" s="111">
        <v>6.5</v>
      </c>
      <c r="I350" s="111">
        <v>0</v>
      </c>
      <c r="J350" s="111">
        <v>0</v>
      </c>
      <c r="K350" s="111">
        <v>0</v>
      </c>
      <c r="L350">
        <v>0</v>
      </c>
    </row>
    <row r="351" spans="1:12" x14ac:dyDescent="0.2">
      <c r="A351" s="111" t="s">
        <v>430</v>
      </c>
      <c r="B351" s="132" t="s">
        <v>1596</v>
      </c>
      <c r="C351" s="111">
        <v>195.58</v>
      </c>
      <c r="D351" s="111">
        <v>124.73779999999999</v>
      </c>
      <c r="E351" s="111">
        <v>78.867605999999995</v>
      </c>
      <c r="F351" s="111">
        <v>1</v>
      </c>
      <c r="G351" s="133">
        <v>0</v>
      </c>
      <c r="H351" s="111">
        <v>4</v>
      </c>
      <c r="I351" s="111">
        <v>0</v>
      </c>
      <c r="J351" s="111">
        <v>0</v>
      </c>
      <c r="K351" s="111">
        <v>0</v>
      </c>
      <c r="L351">
        <v>0</v>
      </c>
    </row>
    <row r="352" spans="1:12" x14ac:dyDescent="0.2">
      <c r="A352" s="111" t="s">
        <v>431</v>
      </c>
      <c r="B352" s="132">
        <v>37</v>
      </c>
      <c r="C352" s="111">
        <v>182.88</v>
      </c>
      <c r="D352" s="111">
        <v>83.914519999999996</v>
      </c>
      <c r="E352" s="111">
        <v>76</v>
      </c>
      <c r="F352" s="111">
        <v>9</v>
      </c>
      <c r="G352" s="133">
        <v>0.44444444444444442</v>
      </c>
      <c r="H352" s="111">
        <v>18.444444444444443</v>
      </c>
      <c r="I352" s="111">
        <v>0.33333333333333331</v>
      </c>
      <c r="J352" s="111">
        <v>0.1111111111111111</v>
      </c>
      <c r="K352" s="111">
        <v>0.55555555555555558</v>
      </c>
      <c r="L352">
        <v>0</v>
      </c>
    </row>
    <row r="353" spans="1:12" x14ac:dyDescent="0.2">
      <c r="A353" s="111" t="s">
        <v>432</v>
      </c>
      <c r="B353" s="132">
        <v>28</v>
      </c>
      <c r="C353" s="111">
        <v>175.26</v>
      </c>
      <c r="D353" s="111">
        <v>70.306759999999997</v>
      </c>
      <c r="E353" s="111">
        <v>72</v>
      </c>
      <c r="F353" s="111">
        <v>3</v>
      </c>
      <c r="G353" s="133">
        <v>0.33333333333333331</v>
      </c>
      <c r="H353" s="111">
        <v>45</v>
      </c>
      <c r="I353" s="111">
        <v>2.3333333333333335</v>
      </c>
      <c r="J353" s="111">
        <v>0.66666666666666663</v>
      </c>
      <c r="K353" s="111">
        <v>2</v>
      </c>
      <c r="L353">
        <v>0</v>
      </c>
    </row>
    <row r="354" spans="1:12" x14ac:dyDescent="0.2">
      <c r="A354" s="111" t="s">
        <v>433</v>
      </c>
      <c r="B354" s="132">
        <v>37</v>
      </c>
      <c r="C354" s="111">
        <v>182.88</v>
      </c>
      <c r="D354" s="111">
        <v>77.110640000000004</v>
      </c>
      <c r="E354" s="111">
        <v>76</v>
      </c>
      <c r="F354" s="111">
        <v>5</v>
      </c>
      <c r="G354" s="133">
        <v>0.2</v>
      </c>
      <c r="H354" s="111">
        <v>23.6</v>
      </c>
      <c r="I354" s="111">
        <v>0.6</v>
      </c>
      <c r="J354" s="111">
        <v>1.8</v>
      </c>
      <c r="K354" s="111">
        <v>0.2</v>
      </c>
      <c r="L354">
        <v>0</v>
      </c>
    </row>
    <row r="355" spans="1:12" x14ac:dyDescent="0.2">
      <c r="A355" s="111" t="s">
        <v>434</v>
      </c>
      <c r="B355" s="132">
        <v>38</v>
      </c>
      <c r="C355" s="111">
        <v>185.42</v>
      </c>
      <c r="D355" s="111">
        <v>83.914519999999996</v>
      </c>
      <c r="E355" s="111">
        <v>74.847294000000005</v>
      </c>
      <c r="F355" s="111">
        <v>3</v>
      </c>
      <c r="G355" s="133">
        <v>0.66666666666666663</v>
      </c>
      <c r="H355" s="111">
        <v>6.333333333333333</v>
      </c>
      <c r="I355" s="111">
        <v>1</v>
      </c>
      <c r="J355" s="111">
        <v>1</v>
      </c>
      <c r="K355" s="111">
        <v>0.33333333333333331</v>
      </c>
      <c r="L355">
        <v>1</v>
      </c>
    </row>
    <row r="356" spans="1:12" x14ac:dyDescent="0.2">
      <c r="A356" s="111" t="s">
        <v>435</v>
      </c>
      <c r="B356" s="132" t="s">
        <v>1596</v>
      </c>
      <c r="C356" s="111">
        <v>165.1</v>
      </c>
      <c r="D356" s="111">
        <v>65.770840000000007</v>
      </c>
      <c r="E356" s="111">
        <v>66.806669999999997</v>
      </c>
      <c r="F356" s="111">
        <v>1</v>
      </c>
      <c r="G356" s="133">
        <v>0</v>
      </c>
      <c r="H356" s="111">
        <v>20</v>
      </c>
      <c r="I356" s="111">
        <v>0</v>
      </c>
      <c r="J356" s="111">
        <v>0</v>
      </c>
      <c r="K356" s="111">
        <v>0</v>
      </c>
      <c r="L356">
        <v>0</v>
      </c>
    </row>
    <row r="357" spans="1:12" x14ac:dyDescent="0.2">
      <c r="A357" s="111" t="s">
        <v>436</v>
      </c>
      <c r="B357" s="132">
        <v>40</v>
      </c>
      <c r="C357" s="111">
        <v>185.42</v>
      </c>
      <c r="D357" s="111">
        <v>83.914519999999996</v>
      </c>
      <c r="E357" s="111">
        <v>75</v>
      </c>
      <c r="F357" s="111">
        <v>6</v>
      </c>
      <c r="G357" s="133">
        <v>0.66666666666666663</v>
      </c>
      <c r="H357" s="111">
        <v>14.333333333333334</v>
      </c>
      <c r="I357" s="111">
        <v>1.3333333333333333</v>
      </c>
      <c r="J357" s="111">
        <v>0.83333333333333337</v>
      </c>
      <c r="K357" s="111">
        <v>1</v>
      </c>
      <c r="L357">
        <v>0</v>
      </c>
    </row>
    <row r="358" spans="1:12" x14ac:dyDescent="0.2">
      <c r="A358" s="111" t="s">
        <v>437</v>
      </c>
      <c r="B358" s="132">
        <v>39</v>
      </c>
      <c r="C358" s="111">
        <v>180.34</v>
      </c>
      <c r="D358" s="111">
        <v>83.914519999999996</v>
      </c>
      <c r="E358" s="111">
        <v>72.837137999999996</v>
      </c>
      <c r="F358" s="111">
        <v>1</v>
      </c>
      <c r="G358" s="133">
        <v>0</v>
      </c>
      <c r="H358" s="111">
        <v>3</v>
      </c>
      <c r="I358" s="111">
        <v>0</v>
      </c>
      <c r="J358" s="111">
        <v>0</v>
      </c>
      <c r="K358" s="111">
        <v>0</v>
      </c>
      <c r="L358">
        <v>0</v>
      </c>
    </row>
    <row r="359" spans="1:12" x14ac:dyDescent="0.2">
      <c r="A359" s="111" t="s">
        <v>438</v>
      </c>
      <c r="B359" s="132">
        <v>30</v>
      </c>
      <c r="C359" s="111">
        <v>160.02000000000001</v>
      </c>
      <c r="D359" s="111">
        <v>56.698999999999998</v>
      </c>
      <c r="E359" s="111">
        <v>66</v>
      </c>
      <c r="F359" s="111">
        <v>13</v>
      </c>
      <c r="G359" s="133">
        <v>0.84615384615384615</v>
      </c>
      <c r="H359" s="111">
        <v>67</v>
      </c>
      <c r="I359" s="111">
        <v>4.5384615384615383</v>
      </c>
      <c r="J359" s="111">
        <v>0.46153846153846156</v>
      </c>
      <c r="K359" s="111">
        <v>2.4615384615384617</v>
      </c>
      <c r="L359">
        <v>0</v>
      </c>
    </row>
    <row r="360" spans="1:12" x14ac:dyDescent="0.2">
      <c r="A360" s="111" t="s">
        <v>439</v>
      </c>
      <c r="B360" s="132">
        <v>39</v>
      </c>
      <c r="C360" s="111">
        <v>185.42</v>
      </c>
      <c r="D360" s="111">
        <v>77.110640000000004</v>
      </c>
      <c r="E360" s="111">
        <v>72</v>
      </c>
      <c r="F360" s="111">
        <v>22</v>
      </c>
      <c r="G360" s="133">
        <v>0.72727272727272729</v>
      </c>
      <c r="H360" s="111">
        <v>22.40909090909091</v>
      </c>
      <c r="I360" s="111">
        <v>2.3636363636363638</v>
      </c>
      <c r="J360" s="111">
        <v>0.95454545454545459</v>
      </c>
      <c r="K360" s="111">
        <v>3.5</v>
      </c>
      <c r="L360">
        <v>1</v>
      </c>
    </row>
    <row r="361" spans="1:12" x14ac:dyDescent="0.2">
      <c r="A361" s="111" t="s">
        <v>440</v>
      </c>
      <c r="B361" s="132">
        <v>39</v>
      </c>
      <c r="C361" s="111">
        <v>180.34</v>
      </c>
      <c r="D361" s="111">
        <v>83.914519999999996</v>
      </c>
      <c r="E361" s="111">
        <v>77</v>
      </c>
      <c r="F361" s="111">
        <v>3</v>
      </c>
      <c r="G361" s="133">
        <v>0.33333333333333331</v>
      </c>
      <c r="H361" s="111">
        <v>22.666666666666668</v>
      </c>
      <c r="I361" s="111">
        <v>2.6666666666666665</v>
      </c>
      <c r="J361" s="111">
        <v>0.66666666666666663</v>
      </c>
      <c r="K361" s="111">
        <v>6</v>
      </c>
      <c r="L361">
        <v>0</v>
      </c>
    </row>
    <row r="362" spans="1:12" x14ac:dyDescent="0.2">
      <c r="A362" s="111" t="s">
        <v>441</v>
      </c>
      <c r="B362" s="132">
        <v>36</v>
      </c>
      <c r="C362" s="111">
        <v>182.88</v>
      </c>
      <c r="D362" s="111">
        <v>111.13003999999999</v>
      </c>
      <c r="E362" s="111">
        <v>73.842215999999993</v>
      </c>
      <c r="F362" s="111">
        <v>2</v>
      </c>
      <c r="G362" s="133">
        <v>0</v>
      </c>
      <c r="H362" s="111">
        <v>11.5</v>
      </c>
      <c r="I362" s="111">
        <v>0</v>
      </c>
      <c r="J362" s="111">
        <v>0.5</v>
      </c>
      <c r="K362" s="111">
        <v>0</v>
      </c>
      <c r="L362">
        <v>0</v>
      </c>
    </row>
    <row r="363" spans="1:12" x14ac:dyDescent="0.2">
      <c r="A363" s="111" t="s">
        <v>442</v>
      </c>
      <c r="B363" s="132">
        <v>30</v>
      </c>
      <c r="C363" s="111">
        <v>167.64</v>
      </c>
      <c r="D363" s="111">
        <v>65.770840000000007</v>
      </c>
      <c r="E363" s="111">
        <v>66</v>
      </c>
      <c r="F363" s="111">
        <v>11</v>
      </c>
      <c r="G363" s="133">
        <v>0.72727272727272729</v>
      </c>
      <c r="H363" s="111">
        <v>47.727272727272727</v>
      </c>
      <c r="I363" s="111">
        <v>3</v>
      </c>
      <c r="J363" s="111">
        <v>1.0909090909090908</v>
      </c>
      <c r="K363" s="111">
        <v>2.5454545454545454</v>
      </c>
      <c r="L363">
        <v>0</v>
      </c>
    </row>
    <row r="364" spans="1:12" x14ac:dyDescent="0.2">
      <c r="A364" s="111" t="s">
        <v>443</v>
      </c>
      <c r="B364" s="132">
        <v>41</v>
      </c>
      <c r="C364" s="111">
        <v>175.26</v>
      </c>
      <c r="D364" s="111">
        <v>70.306759999999997</v>
      </c>
      <c r="E364" s="111">
        <v>72</v>
      </c>
      <c r="F364" s="111">
        <v>9</v>
      </c>
      <c r="G364" s="133">
        <v>0.44444444444444442</v>
      </c>
      <c r="H364" s="111">
        <v>10.444444444444445</v>
      </c>
      <c r="I364" s="111">
        <v>1.1111111111111112</v>
      </c>
      <c r="J364" s="111">
        <v>1.3333333333333333</v>
      </c>
      <c r="K364" s="111">
        <v>1.3333333333333333</v>
      </c>
      <c r="L364">
        <v>0</v>
      </c>
    </row>
    <row r="365" spans="1:12" x14ac:dyDescent="0.2">
      <c r="A365" s="111" t="s">
        <v>444</v>
      </c>
      <c r="B365" s="132">
        <v>37</v>
      </c>
      <c r="C365" s="111">
        <v>167.64</v>
      </c>
      <c r="D365" s="111">
        <v>65.770840000000007</v>
      </c>
      <c r="E365" s="111">
        <v>70</v>
      </c>
      <c r="F365" s="111">
        <v>20</v>
      </c>
      <c r="G365" s="133">
        <v>0.55000000000000004</v>
      </c>
      <c r="H365" s="111">
        <v>38.299999999999997</v>
      </c>
      <c r="I365" s="111">
        <v>0.65</v>
      </c>
      <c r="J365" s="111">
        <v>0.25</v>
      </c>
      <c r="K365" s="111">
        <v>1.6</v>
      </c>
      <c r="L365">
        <v>0</v>
      </c>
    </row>
    <row r="366" spans="1:12" x14ac:dyDescent="0.2">
      <c r="A366" s="111" t="s">
        <v>445</v>
      </c>
      <c r="B366" s="132">
        <v>32</v>
      </c>
      <c r="C366" s="111">
        <v>185.42</v>
      </c>
      <c r="D366" s="111">
        <v>83.914519999999996</v>
      </c>
      <c r="E366" s="111">
        <v>77</v>
      </c>
      <c r="F366" s="111">
        <v>7</v>
      </c>
      <c r="G366" s="133">
        <v>0.8571428571428571</v>
      </c>
      <c r="H366" s="111">
        <v>21.857142857142858</v>
      </c>
      <c r="I366" s="111">
        <v>1.5714285714285714</v>
      </c>
      <c r="J366" s="111">
        <v>0.42857142857142855</v>
      </c>
      <c r="K366" s="111">
        <v>2</v>
      </c>
      <c r="L366">
        <v>1</v>
      </c>
    </row>
    <row r="367" spans="1:12" x14ac:dyDescent="0.2">
      <c r="A367" s="111" t="s">
        <v>446</v>
      </c>
      <c r="B367" s="132">
        <v>36</v>
      </c>
      <c r="C367" s="111">
        <v>185.42</v>
      </c>
      <c r="D367" s="111">
        <v>83.914519999999996</v>
      </c>
      <c r="E367" s="111">
        <v>74.847294000000005</v>
      </c>
      <c r="F367" s="111">
        <v>1</v>
      </c>
      <c r="G367" s="133">
        <v>0</v>
      </c>
      <c r="H367" s="111">
        <v>2</v>
      </c>
      <c r="I367" s="111">
        <v>1</v>
      </c>
      <c r="J367" s="111">
        <v>0</v>
      </c>
      <c r="K367" s="111">
        <v>0</v>
      </c>
      <c r="L367">
        <v>0</v>
      </c>
    </row>
    <row r="368" spans="1:12" x14ac:dyDescent="0.2">
      <c r="A368" s="111" t="s">
        <v>447</v>
      </c>
      <c r="B368" s="132">
        <v>31</v>
      </c>
      <c r="C368" s="111">
        <v>190.5</v>
      </c>
      <c r="D368" s="111">
        <v>117.93392</v>
      </c>
      <c r="E368" s="111">
        <v>79</v>
      </c>
      <c r="F368" s="111">
        <v>7</v>
      </c>
      <c r="G368" s="133">
        <v>0.7142857142857143</v>
      </c>
      <c r="H368" s="111">
        <v>20.428571428571427</v>
      </c>
      <c r="I368" s="111">
        <v>0.42857142857142855</v>
      </c>
      <c r="J368" s="111">
        <v>0</v>
      </c>
      <c r="K368" s="111">
        <v>1.7142857142857142</v>
      </c>
      <c r="L368">
        <v>0</v>
      </c>
    </row>
    <row r="369" spans="1:12" x14ac:dyDescent="0.2">
      <c r="A369" s="111" t="s">
        <v>448</v>
      </c>
      <c r="B369" s="132">
        <v>38</v>
      </c>
      <c r="C369" s="111">
        <v>175.26</v>
      </c>
      <c r="D369" s="111">
        <v>77.110640000000004</v>
      </c>
      <c r="E369" s="111">
        <v>70.826982000000001</v>
      </c>
      <c r="F369" s="111">
        <v>1</v>
      </c>
      <c r="G369" s="133">
        <v>0</v>
      </c>
      <c r="H369" s="111">
        <v>18</v>
      </c>
      <c r="I369" s="111">
        <v>0</v>
      </c>
      <c r="J369" s="111">
        <v>0</v>
      </c>
      <c r="K369" s="111">
        <v>0</v>
      </c>
      <c r="L369">
        <v>1</v>
      </c>
    </row>
    <row r="370" spans="1:12" x14ac:dyDescent="0.2">
      <c r="A370" s="111" t="s">
        <v>449</v>
      </c>
      <c r="B370" s="132">
        <v>27</v>
      </c>
      <c r="C370" s="111">
        <v>187.96</v>
      </c>
      <c r="D370" s="111">
        <v>77.110640000000004</v>
      </c>
      <c r="E370" s="111">
        <v>75</v>
      </c>
      <c r="F370" s="111">
        <v>4</v>
      </c>
      <c r="G370" s="133">
        <v>0.25</v>
      </c>
      <c r="H370" s="111">
        <v>22</v>
      </c>
      <c r="I370" s="111">
        <v>1.5</v>
      </c>
      <c r="J370" s="111">
        <v>1</v>
      </c>
      <c r="K370" s="111">
        <v>2.25</v>
      </c>
      <c r="L370">
        <v>0</v>
      </c>
    </row>
    <row r="371" spans="1:12" x14ac:dyDescent="0.2">
      <c r="A371" s="111" t="s">
        <v>450</v>
      </c>
      <c r="B371" s="132">
        <v>29</v>
      </c>
      <c r="C371" s="111">
        <v>170.18</v>
      </c>
      <c r="D371" s="111">
        <v>65.770840000000007</v>
      </c>
      <c r="E371" s="111">
        <v>68</v>
      </c>
      <c r="F371" s="111">
        <v>10</v>
      </c>
      <c r="G371" s="133">
        <v>0.6</v>
      </c>
      <c r="H371" s="111">
        <v>23.3</v>
      </c>
      <c r="I371" s="111">
        <v>1.7</v>
      </c>
      <c r="J371" s="111">
        <v>0.3</v>
      </c>
      <c r="K371" s="111">
        <v>1.3</v>
      </c>
      <c r="L371">
        <v>0</v>
      </c>
    </row>
    <row r="372" spans="1:12" x14ac:dyDescent="0.2">
      <c r="A372" s="111" t="s">
        <v>451</v>
      </c>
      <c r="B372" s="132">
        <v>34</v>
      </c>
      <c r="C372" s="111">
        <v>167.64</v>
      </c>
      <c r="D372" s="111">
        <v>65.770840000000007</v>
      </c>
      <c r="E372" s="111">
        <v>67</v>
      </c>
      <c r="F372" s="111">
        <v>6</v>
      </c>
      <c r="G372" s="133">
        <v>0.5</v>
      </c>
      <c r="H372" s="111">
        <v>44.333333333333336</v>
      </c>
      <c r="I372" s="111">
        <v>0.83333333333333337</v>
      </c>
      <c r="J372" s="111">
        <v>0</v>
      </c>
      <c r="K372" s="111">
        <v>0.16666666666666666</v>
      </c>
      <c r="L372">
        <v>0</v>
      </c>
    </row>
    <row r="373" spans="1:12" x14ac:dyDescent="0.2">
      <c r="A373" s="111" t="s">
        <v>452</v>
      </c>
      <c r="B373" s="132">
        <v>25</v>
      </c>
      <c r="C373" s="111">
        <v>172.72</v>
      </c>
      <c r="D373" s="111">
        <v>65.770840000000007</v>
      </c>
      <c r="E373" s="111">
        <v>69</v>
      </c>
      <c r="F373" s="111">
        <v>2</v>
      </c>
      <c r="G373" s="133">
        <v>1</v>
      </c>
      <c r="H373" s="111">
        <v>10</v>
      </c>
      <c r="I373" s="111">
        <v>1.5</v>
      </c>
      <c r="J373" s="111">
        <v>0</v>
      </c>
      <c r="K373" s="111">
        <v>3</v>
      </c>
      <c r="L373">
        <v>0</v>
      </c>
    </row>
    <row r="374" spans="1:12" x14ac:dyDescent="0.2">
      <c r="A374" s="111" t="s">
        <v>453</v>
      </c>
      <c r="B374" s="132">
        <v>35</v>
      </c>
      <c r="C374" s="111">
        <v>177.8</v>
      </c>
      <c r="D374" s="111">
        <v>70.306759999999997</v>
      </c>
      <c r="E374" s="111">
        <v>72</v>
      </c>
      <c r="F374" s="111">
        <v>22</v>
      </c>
      <c r="G374" s="133">
        <v>0.63636363636363635</v>
      </c>
      <c r="H374" s="111">
        <v>35.590909090909093</v>
      </c>
      <c r="I374" s="111">
        <v>1.1818181818181819</v>
      </c>
      <c r="J374" s="111">
        <v>0.81818181818181823</v>
      </c>
      <c r="K374" s="111">
        <v>1.5</v>
      </c>
      <c r="L374">
        <v>1</v>
      </c>
    </row>
    <row r="375" spans="1:12" x14ac:dyDescent="0.2">
      <c r="A375" s="111" t="s">
        <v>454</v>
      </c>
      <c r="B375" s="132">
        <v>34</v>
      </c>
      <c r="C375" s="111">
        <v>167.64</v>
      </c>
      <c r="D375" s="111">
        <v>70.306759999999997</v>
      </c>
      <c r="E375" s="111">
        <v>67.811747999999994</v>
      </c>
      <c r="F375" s="111">
        <v>3</v>
      </c>
      <c r="G375" s="133">
        <v>0</v>
      </c>
      <c r="H375" s="111">
        <v>24.666666666666668</v>
      </c>
      <c r="I375" s="111">
        <v>1.3333333333333333</v>
      </c>
      <c r="J375" s="111">
        <v>0.66666666666666663</v>
      </c>
      <c r="K375" s="111">
        <v>3</v>
      </c>
      <c r="L375">
        <v>0</v>
      </c>
    </row>
    <row r="376" spans="1:12" x14ac:dyDescent="0.2">
      <c r="A376" s="111" t="s">
        <v>455</v>
      </c>
      <c r="B376" s="132">
        <v>56</v>
      </c>
      <c r="C376" s="111">
        <v>175.26</v>
      </c>
      <c r="D376" s="111">
        <v>90.718400000000003</v>
      </c>
      <c r="E376" s="111">
        <v>70.826982000000001</v>
      </c>
      <c r="F376" s="111">
        <v>1</v>
      </c>
      <c r="G376" s="133">
        <v>0</v>
      </c>
      <c r="H376" s="111">
        <v>3</v>
      </c>
      <c r="I376" s="111">
        <v>0</v>
      </c>
      <c r="J376" s="111">
        <v>0</v>
      </c>
      <c r="K376" s="111">
        <v>1</v>
      </c>
      <c r="L376">
        <v>0</v>
      </c>
    </row>
    <row r="377" spans="1:12" x14ac:dyDescent="0.2">
      <c r="A377" s="111" t="s">
        <v>456</v>
      </c>
      <c r="B377" s="132">
        <v>29</v>
      </c>
      <c r="C377" s="111">
        <v>165.1</v>
      </c>
      <c r="D377" s="111">
        <v>61.234920000000002</v>
      </c>
      <c r="E377" s="111">
        <v>65</v>
      </c>
      <c r="F377" s="111">
        <v>1</v>
      </c>
      <c r="G377" s="133">
        <v>0</v>
      </c>
      <c r="H377" s="111">
        <v>46</v>
      </c>
      <c r="I377" s="111">
        <v>3</v>
      </c>
      <c r="J377" s="111">
        <v>3</v>
      </c>
      <c r="K377" s="111">
        <v>1</v>
      </c>
      <c r="L377">
        <v>0</v>
      </c>
    </row>
    <row r="378" spans="1:12" x14ac:dyDescent="0.2">
      <c r="A378" s="111" t="s">
        <v>457</v>
      </c>
      <c r="B378" s="132">
        <v>40</v>
      </c>
      <c r="C378" s="111">
        <v>175.26</v>
      </c>
      <c r="D378" s="111">
        <v>70.306759999999997</v>
      </c>
      <c r="E378" s="111">
        <v>70.826982000000001</v>
      </c>
      <c r="F378" s="111">
        <v>9</v>
      </c>
      <c r="G378" s="133">
        <v>0.55555555555555558</v>
      </c>
      <c r="H378" s="111">
        <v>20.222222222222221</v>
      </c>
      <c r="I378" s="111">
        <v>1</v>
      </c>
      <c r="J378" s="111">
        <v>0.88888888888888884</v>
      </c>
      <c r="K378" s="111">
        <v>1</v>
      </c>
      <c r="L378">
        <v>0</v>
      </c>
    </row>
    <row r="379" spans="1:12" x14ac:dyDescent="0.2">
      <c r="A379" s="111" t="s">
        <v>458</v>
      </c>
      <c r="B379" s="132" t="s">
        <v>1596</v>
      </c>
      <c r="C379" s="111">
        <v>190.5</v>
      </c>
      <c r="D379" s="111">
        <v>98.429463999999996</v>
      </c>
      <c r="E379" s="111">
        <v>76.85745</v>
      </c>
      <c r="F379" s="111">
        <v>1</v>
      </c>
      <c r="G379" s="133">
        <v>0</v>
      </c>
      <c r="H379" s="111">
        <v>1</v>
      </c>
      <c r="I379" s="111">
        <v>0</v>
      </c>
      <c r="J379" s="111">
        <v>0</v>
      </c>
      <c r="K379" s="111">
        <v>0</v>
      </c>
      <c r="L379">
        <v>0</v>
      </c>
    </row>
    <row r="380" spans="1:12" x14ac:dyDescent="0.2">
      <c r="A380" s="111" t="s">
        <v>459</v>
      </c>
      <c r="B380" s="132">
        <v>44</v>
      </c>
      <c r="C380" s="111">
        <v>170.18</v>
      </c>
      <c r="D380" s="111">
        <v>70.306759999999997</v>
      </c>
      <c r="E380" s="111">
        <v>68.816826000000006</v>
      </c>
      <c r="F380" s="111">
        <v>2</v>
      </c>
      <c r="G380" s="133">
        <v>0</v>
      </c>
      <c r="H380" s="111">
        <v>3.5</v>
      </c>
      <c r="I380" s="111">
        <v>1</v>
      </c>
      <c r="J380" s="111">
        <v>1</v>
      </c>
      <c r="K380" s="111">
        <v>0.5</v>
      </c>
      <c r="L380">
        <v>1</v>
      </c>
    </row>
    <row r="381" spans="1:12" x14ac:dyDescent="0.2">
      <c r="A381" s="111" t="s">
        <v>460</v>
      </c>
      <c r="B381" s="132" t="s">
        <v>1596</v>
      </c>
      <c r="C381" s="111">
        <v>185.42</v>
      </c>
      <c r="D381" s="111">
        <v>77.110640000000004</v>
      </c>
      <c r="E381" s="111">
        <v>79</v>
      </c>
      <c r="F381" s="111">
        <v>2</v>
      </c>
      <c r="G381" s="133">
        <v>0</v>
      </c>
      <c r="H381" s="111">
        <v>6.5</v>
      </c>
      <c r="I381" s="111">
        <v>2.5</v>
      </c>
      <c r="J381" s="111">
        <v>0</v>
      </c>
      <c r="K381" s="111">
        <v>2</v>
      </c>
      <c r="L381">
        <v>0</v>
      </c>
    </row>
    <row r="382" spans="1:12" x14ac:dyDescent="0.2">
      <c r="A382" s="111" t="s">
        <v>461</v>
      </c>
      <c r="B382" s="132">
        <v>31</v>
      </c>
      <c r="C382" s="111">
        <v>172.72</v>
      </c>
      <c r="D382" s="111">
        <v>61.234920000000002</v>
      </c>
      <c r="E382" s="111">
        <v>68</v>
      </c>
      <c r="F382" s="111">
        <v>4</v>
      </c>
      <c r="G382" s="133">
        <v>1</v>
      </c>
      <c r="H382" s="111">
        <v>72</v>
      </c>
      <c r="I382" s="111">
        <v>5</v>
      </c>
      <c r="J382" s="111">
        <v>0.25</v>
      </c>
      <c r="K382" s="111">
        <v>2.25</v>
      </c>
      <c r="L382">
        <v>0</v>
      </c>
    </row>
    <row r="383" spans="1:12" x14ac:dyDescent="0.2">
      <c r="A383" s="111" t="s">
        <v>462</v>
      </c>
      <c r="B383" s="132">
        <v>28</v>
      </c>
      <c r="C383" s="111">
        <v>177.8</v>
      </c>
      <c r="D383" s="111">
        <v>77.110640000000004</v>
      </c>
      <c r="E383" s="111">
        <v>74</v>
      </c>
      <c r="F383" s="111">
        <v>2</v>
      </c>
      <c r="G383" s="133">
        <v>0.5</v>
      </c>
      <c r="H383" s="111">
        <v>19</v>
      </c>
      <c r="I383" s="111">
        <v>2</v>
      </c>
      <c r="J383" s="111">
        <v>0</v>
      </c>
      <c r="K383" s="111">
        <v>0.5</v>
      </c>
      <c r="L383">
        <v>0</v>
      </c>
    </row>
    <row r="384" spans="1:12" x14ac:dyDescent="0.2">
      <c r="A384" s="111" t="s">
        <v>463</v>
      </c>
      <c r="B384" s="132">
        <v>51</v>
      </c>
      <c r="C384" s="111">
        <v>185.42</v>
      </c>
      <c r="D384" s="111">
        <v>99.336647999999997</v>
      </c>
      <c r="E384" s="111">
        <v>74.847294000000005</v>
      </c>
      <c r="F384" s="111">
        <v>10</v>
      </c>
      <c r="G384" s="133">
        <v>0.9</v>
      </c>
      <c r="H384" s="111">
        <v>12.7</v>
      </c>
      <c r="I384" s="111">
        <v>0.4</v>
      </c>
      <c r="J384" s="111">
        <v>0.3</v>
      </c>
      <c r="K384" s="111">
        <v>0.9</v>
      </c>
      <c r="L384">
        <v>0</v>
      </c>
    </row>
    <row r="385" spans="1:12" x14ac:dyDescent="0.2">
      <c r="A385" s="111" t="s">
        <v>464</v>
      </c>
      <c r="B385" s="132">
        <v>33</v>
      </c>
      <c r="C385" s="111">
        <v>185.42</v>
      </c>
      <c r="D385" s="111">
        <v>77.110640000000004</v>
      </c>
      <c r="E385" s="111">
        <v>73</v>
      </c>
      <c r="F385" s="111">
        <v>20</v>
      </c>
      <c r="G385" s="133">
        <v>0.8</v>
      </c>
      <c r="H385" s="111">
        <v>41.4</v>
      </c>
      <c r="I385" s="111">
        <v>0.7</v>
      </c>
      <c r="J385" s="111">
        <v>0.4</v>
      </c>
      <c r="K385" s="111">
        <v>1.1000000000000001</v>
      </c>
      <c r="L385">
        <v>0</v>
      </c>
    </row>
    <row r="386" spans="1:12" x14ac:dyDescent="0.2">
      <c r="A386" s="111" t="s">
        <v>1559</v>
      </c>
      <c r="B386" s="132" t="s">
        <v>1596</v>
      </c>
      <c r="C386" s="111">
        <v>180.34</v>
      </c>
      <c r="D386" s="111">
        <v>77.110640000000004</v>
      </c>
      <c r="E386" s="111">
        <v>70</v>
      </c>
      <c r="F386" s="111">
        <v>1</v>
      </c>
      <c r="G386" s="133">
        <v>0</v>
      </c>
      <c r="H386" s="111">
        <v>19</v>
      </c>
      <c r="I386" s="111">
        <v>0</v>
      </c>
      <c r="J386" s="111">
        <v>0</v>
      </c>
      <c r="K386" s="111">
        <v>0</v>
      </c>
      <c r="L386">
        <v>0</v>
      </c>
    </row>
    <row r="387" spans="1:12" x14ac:dyDescent="0.2">
      <c r="A387" s="111" t="s">
        <v>465</v>
      </c>
      <c r="B387" s="132">
        <v>35</v>
      </c>
      <c r="C387" s="111">
        <v>180.34</v>
      </c>
      <c r="D387" s="111">
        <v>77.110640000000004</v>
      </c>
      <c r="E387" s="111">
        <v>70</v>
      </c>
      <c r="F387" s="111">
        <v>16</v>
      </c>
      <c r="G387" s="133">
        <v>0.75</v>
      </c>
      <c r="H387" s="111">
        <v>23.0625</v>
      </c>
      <c r="I387" s="111">
        <v>2.125</v>
      </c>
      <c r="J387" s="111">
        <v>0.5</v>
      </c>
      <c r="K387" s="111">
        <v>2.8125</v>
      </c>
      <c r="L387">
        <v>0</v>
      </c>
    </row>
    <row r="388" spans="1:12" x14ac:dyDescent="0.2">
      <c r="A388" s="111" t="s">
        <v>466</v>
      </c>
      <c r="B388" s="132">
        <v>32</v>
      </c>
      <c r="C388" s="111">
        <v>177.8</v>
      </c>
      <c r="D388" s="111">
        <v>83.914519999999996</v>
      </c>
      <c r="E388" s="111">
        <v>71</v>
      </c>
      <c r="F388" s="111">
        <v>5</v>
      </c>
      <c r="G388" s="133">
        <v>0.4</v>
      </c>
      <c r="H388" s="111">
        <v>43.8</v>
      </c>
      <c r="I388" s="111">
        <v>1.4</v>
      </c>
      <c r="J388" s="111">
        <v>0.4</v>
      </c>
      <c r="K388" s="111">
        <v>2.2000000000000002</v>
      </c>
      <c r="L388">
        <v>1</v>
      </c>
    </row>
    <row r="389" spans="1:12" x14ac:dyDescent="0.2">
      <c r="A389" s="111" t="s">
        <v>467</v>
      </c>
      <c r="B389" s="132" t="s">
        <v>1596</v>
      </c>
      <c r="C389" s="111">
        <v>180.34</v>
      </c>
      <c r="D389" s="111">
        <v>80.739375999999993</v>
      </c>
      <c r="E389" s="111">
        <v>72.837137999999996</v>
      </c>
      <c r="F389" s="111">
        <v>1</v>
      </c>
      <c r="G389" s="133">
        <v>0</v>
      </c>
      <c r="H389" s="111">
        <v>0</v>
      </c>
      <c r="I389" s="111">
        <v>0</v>
      </c>
      <c r="J389" s="111">
        <v>0</v>
      </c>
      <c r="K389" s="111">
        <v>0</v>
      </c>
      <c r="L389">
        <v>1</v>
      </c>
    </row>
    <row r="390" spans="1:12" x14ac:dyDescent="0.2">
      <c r="A390" s="111" t="s">
        <v>468</v>
      </c>
      <c r="B390" s="132">
        <v>36</v>
      </c>
      <c r="C390" s="111">
        <v>175.26</v>
      </c>
      <c r="D390" s="111">
        <v>61.234920000000002</v>
      </c>
      <c r="E390" s="111">
        <v>70.826982000000001</v>
      </c>
      <c r="F390" s="111">
        <v>2</v>
      </c>
      <c r="G390" s="133">
        <v>0</v>
      </c>
      <c r="H390" s="111">
        <v>16</v>
      </c>
      <c r="I390" s="111">
        <v>0</v>
      </c>
      <c r="J390" s="111">
        <v>1</v>
      </c>
      <c r="K390" s="111">
        <v>0.5</v>
      </c>
      <c r="L390">
        <v>0</v>
      </c>
    </row>
    <row r="391" spans="1:12" x14ac:dyDescent="0.2">
      <c r="A391" s="111" t="s">
        <v>469</v>
      </c>
      <c r="B391" s="132">
        <v>25</v>
      </c>
      <c r="C391" s="111">
        <v>177.8</v>
      </c>
      <c r="D391" s="111">
        <v>65.770840000000007</v>
      </c>
      <c r="E391" s="111">
        <v>70</v>
      </c>
      <c r="F391" s="111">
        <v>2</v>
      </c>
      <c r="G391" s="133">
        <v>1</v>
      </c>
      <c r="H391" s="111">
        <v>14</v>
      </c>
      <c r="I391" s="111">
        <v>0</v>
      </c>
      <c r="J391" s="111">
        <v>0</v>
      </c>
      <c r="K391" s="111">
        <v>0</v>
      </c>
      <c r="L391">
        <v>0</v>
      </c>
    </row>
    <row r="392" spans="1:12" x14ac:dyDescent="0.2">
      <c r="A392" s="111" t="s">
        <v>470</v>
      </c>
      <c r="B392" s="132">
        <v>39</v>
      </c>
      <c r="C392" s="111">
        <v>190.5</v>
      </c>
      <c r="D392" s="111">
        <v>77.110640000000004</v>
      </c>
      <c r="E392" s="111">
        <v>76.85745</v>
      </c>
      <c r="F392" s="111">
        <v>1</v>
      </c>
      <c r="G392" s="133">
        <v>0</v>
      </c>
      <c r="H392" s="111">
        <v>0</v>
      </c>
      <c r="I392" s="111">
        <v>0</v>
      </c>
      <c r="J392" s="111">
        <v>0</v>
      </c>
      <c r="K392" s="111">
        <v>0</v>
      </c>
      <c r="L392">
        <v>1</v>
      </c>
    </row>
    <row r="393" spans="1:12" x14ac:dyDescent="0.2">
      <c r="A393" s="111" t="s">
        <v>471</v>
      </c>
      <c r="B393" s="132">
        <v>36</v>
      </c>
      <c r="C393" s="111">
        <v>175.26</v>
      </c>
      <c r="D393" s="111">
        <v>70.306759999999997</v>
      </c>
      <c r="E393" s="111">
        <v>70.826982000000001</v>
      </c>
      <c r="F393" s="111">
        <v>2</v>
      </c>
      <c r="G393" s="133">
        <v>0</v>
      </c>
      <c r="H393" s="111">
        <v>21</v>
      </c>
      <c r="I393" s="111">
        <v>2.5</v>
      </c>
      <c r="J393" s="111">
        <v>0.5</v>
      </c>
      <c r="K393" s="111">
        <v>1</v>
      </c>
      <c r="L393">
        <v>0</v>
      </c>
    </row>
    <row r="394" spans="1:12" x14ac:dyDescent="0.2">
      <c r="A394" s="111" t="s">
        <v>472</v>
      </c>
      <c r="B394" s="132">
        <v>31</v>
      </c>
      <c r="C394" s="111">
        <v>170.18</v>
      </c>
      <c r="D394" s="111">
        <v>61.234920000000002</v>
      </c>
      <c r="E394" s="111">
        <v>68</v>
      </c>
      <c r="F394" s="111">
        <v>2</v>
      </c>
      <c r="G394" s="133">
        <v>0.5</v>
      </c>
      <c r="H394" s="111">
        <v>33</v>
      </c>
      <c r="I394" s="111">
        <v>0</v>
      </c>
      <c r="J394" s="111">
        <v>0</v>
      </c>
      <c r="K394" s="111">
        <v>1</v>
      </c>
      <c r="L394">
        <v>0</v>
      </c>
    </row>
    <row r="395" spans="1:12" x14ac:dyDescent="0.2">
      <c r="A395" s="111" t="s">
        <v>473</v>
      </c>
      <c r="B395" s="132">
        <v>28</v>
      </c>
      <c r="C395" s="111">
        <v>172.72</v>
      </c>
      <c r="D395" s="111">
        <v>70.306759999999997</v>
      </c>
      <c r="E395" s="111">
        <v>70</v>
      </c>
      <c r="F395" s="111">
        <v>6</v>
      </c>
      <c r="G395" s="133">
        <v>0.33333333333333331</v>
      </c>
      <c r="H395" s="111">
        <v>28.833333333333332</v>
      </c>
      <c r="I395" s="111">
        <v>0.83333333333333337</v>
      </c>
      <c r="J395" s="111">
        <v>0.16666666666666666</v>
      </c>
      <c r="K395" s="111">
        <v>1.3333333333333333</v>
      </c>
      <c r="L395">
        <v>1</v>
      </c>
    </row>
    <row r="396" spans="1:12" x14ac:dyDescent="0.2">
      <c r="A396" s="111" t="s">
        <v>474</v>
      </c>
      <c r="B396" s="132">
        <v>37</v>
      </c>
      <c r="C396" s="111">
        <v>177.8</v>
      </c>
      <c r="D396" s="111">
        <v>70.306759999999997</v>
      </c>
      <c r="E396" s="111">
        <v>70</v>
      </c>
      <c r="F396" s="111">
        <v>7</v>
      </c>
      <c r="G396" s="133">
        <v>0.5714285714285714</v>
      </c>
      <c r="H396" s="111">
        <v>22.142857142857142</v>
      </c>
      <c r="I396" s="111">
        <v>0.8571428571428571</v>
      </c>
      <c r="J396" s="111">
        <v>1.1428571428571428</v>
      </c>
      <c r="K396" s="111">
        <v>0.5714285714285714</v>
      </c>
      <c r="L396">
        <v>0</v>
      </c>
    </row>
    <row r="397" spans="1:12" x14ac:dyDescent="0.2">
      <c r="A397" s="111" t="s">
        <v>475</v>
      </c>
      <c r="B397" s="132">
        <v>38</v>
      </c>
      <c r="C397" s="111">
        <v>182.88</v>
      </c>
      <c r="D397" s="111">
        <v>83.914519999999996</v>
      </c>
      <c r="E397" s="111">
        <v>72</v>
      </c>
      <c r="F397" s="111">
        <v>9</v>
      </c>
      <c r="G397" s="133">
        <v>0.44444444444444442</v>
      </c>
      <c r="H397" s="111">
        <v>12</v>
      </c>
      <c r="I397" s="111">
        <v>0.22222222222222221</v>
      </c>
      <c r="J397" s="111">
        <v>0.1111111111111111</v>
      </c>
      <c r="K397" s="111">
        <v>0.1111111111111111</v>
      </c>
      <c r="L397">
        <v>1</v>
      </c>
    </row>
    <row r="398" spans="1:12" x14ac:dyDescent="0.2">
      <c r="A398" s="111" t="s">
        <v>476</v>
      </c>
      <c r="B398" s="132">
        <v>38</v>
      </c>
      <c r="C398" s="111">
        <v>177.8</v>
      </c>
      <c r="D398" s="111">
        <v>77.110640000000004</v>
      </c>
      <c r="E398" s="111">
        <v>70</v>
      </c>
      <c r="F398" s="111">
        <v>9</v>
      </c>
      <c r="G398" s="133">
        <v>0.44444444444444442</v>
      </c>
      <c r="H398" s="111">
        <v>34.111111111111114</v>
      </c>
      <c r="I398" s="111">
        <v>0.1111111111111111</v>
      </c>
      <c r="J398" s="111">
        <v>0</v>
      </c>
      <c r="K398" s="111">
        <v>0</v>
      </c>
      <c r="L398">
        <v>0</v>
      </c>
    </row>
    <row r="399" spans="1:12" x14ac:dyDescent="0.2">
      <c r="A399" s="111" t="s">
        <v>477</v>
      </c>
      <c r="B399" s="132">
        <v>30</v>
      </c>
      <c r="C399" s="111">
        <v>185.42</v>
      </c>
      <c r="D399" s="111">
        <v>77.110640000000004</v>
      </c>
      <c r="E399" s="111">
        <v>76</v>
      </c>
      <c r="F399" s="111">
        <v>10</v>
      </c>
      <c r="G399" s="133">
        <v>0.5</v>
      </c>
      <c r="H399" s="111">
        <v>12.2</v>
      </c>
      <c r="I399" s="111">
        <v>0.2</v>
      </c>
      <c r="J399" s="111">
        <v>1.5</v>
      </c>
      <c r="K399" s="111">
        <v>0</v>
      </c>
      <c r="L399">
        <v>0</v>
      </c>
    </row>
    <row r="400" spans="1:12" x14ac:dyDescent="0.2">
      <c r="A400" s="111" t="s">
        <v>478</v>
      </c>
      <c r="B400" s="132">
        <v>28</v>
      </c>
      <c r="C400" s="111">
        <v>193.04</v>
      </c>
      <c r="D400" s="111">
        <v>83.914519999999996</v>
      </c>
      <c r="E400" s="111">
        <v>78</v>
      </c>
      <c r="F400" s="111">
        <v>2</v>
      </c>
      <c r="G400" s="133">
        <v>0</v>
      </c>
      <c r="H400" s="111">
        <v>24</v>
      </c>
      <c r="I400" s="111">
        <v>0</v>
      </c>
      <c r="J400" s="111">
        <v>0</v>
      </c>
      <c r="K400" s="111">
        <v>0</v>
      </c>
      <c r="L400">
        <v>0</v>
      </c>
    </row>
    <row r="401" spans="1:12" x14ac:dyDescent="0.2">
      <c r="A401" s="111" t="s">
        <v>479</v>
      </c>
      <c r="B401" s="132">
        <v>27</v>
      </c>
      <c r="C401" s="111">
        <v>170.18</v>
      </c>
      <c r="D401" s="111">
        <v>61.234920000000002</v>
      </c>
      <c r="E401" s="111">
        <v>71</v>
      </c>
      <c r="F401" s="111">
        <v>5</v>
      </c>
      <c r="G401" s="133">
        <v>0.4</v>
      </c>
      <c r="H401" s="111">
        <v>12.8</v>
      </c>
      <c r="I401" s="111">
        <v>0.6</v>
      </c>
      <c r="J401" s="111">
        <v>1.4</v>
      </c>
      <c r="K401" s="111">
        <v>1</v>
      </c>
      <c r="L401">
        <v>0</v>
      </c>
    </row>
    <row r="402" spans="1:12" x14ac:dyDescent="0.2">
      <c r="A402" s="111" t="s">
        <v>480</v>
      </c>
      <c r="B402" s="132">
        <v>30</v>
      </c>
      <c r="C402" s="111">
        <v>175.26</v>
      </c>
      <c r="D402" s="111">
        <v>65.770840000000007</v>
      </c>
      <c r="E402" s="111">
        <v>70.826982000000001</v>
      </c>
      <c r="F402" s="111">
        <v>1</v>
      </c>
      <c r="G402" s="133">
        <v>0</v>
      </c>
      <c r="H402" s="111">
        <v>18</v>
      </c>
      <c r="I402" s="111">
        <v>0</v>
      </c>
      <c r="J402" s="111">
        <v>1</v>
      </c>
      <c r="K402" s="111">
        <v>0</v>
      </c>
      <c r="L402">
        <v>0</v>
      </c>
    </row>
    <row r="403" spans="1:12" x14ac:dyDescent="0.2">
      <c r="A403" s="111" t="s">
        <v>481</v>
      </c>
      <c r="B403" s="132">
        <v>28</v>
      </c>
      <c r="C403" s="111">
        <v>165.1</v>
      </c>
      <c r="D403" s="111">
        <v>56.698999999999998</v>
      </c>
      <c r="E403" s="111">
        <v>65</v>
      </c>
      <c r="F403" s="111">
        <v>7</v>
      </c>
      <c r="G403" s="133">
        <v>0.5714285714285714</v>
      </c>
      <c r="H403" s="111">
        <v>49.857142857142854</v>
      </c>
      <c r="I403" s="111">
        <v>2.4285714285714284</v>
      </c>
      <c r="J403" s="111">
        <v>0.14285714285714285</v>
      </c>
      <c r="K403" s="111">
        <v>3.4285714285714284</v>
      </c>
      <c r="L403">
        <v>0</v>
      </c>
    </row>
    <row r="404" spans="1:12" x14ac:dyDescent="0.2">
      <c r="A404" s="111" t="s">
        <v>482</v>
      </c>
      <c r="B404" s="132">
        <v>29</v>
      </c>
      <c r="C404" s="111">
        <v>175.26</v>
      </c>
      <c r="D404" s="111">
        <v>61.234920000000002</v>
      </c>
      <c r="E404" s="111">
        <v>74</v>
      </c>
      <c r="F404" s="111">
        <v>6</v>
      </c>
      <c r="G404" s="133">
        <v>0.16666666666666666</v>
      </c>
      <c r="H404" s="111">
        <v>16</v>
      </c>
      <c r="I404" s="111">
        <v>0.66666666666666663</v>
      </c>
      <c r="J404" s="111">
        <v>1.6666666666666667</v>
      </c>
      <c r="K404" s="111">
        <v>1.6666666666666667</v>
      </c>
      <c r="L404">
        <v>0</v>
      </c>
    </row>
    <row r="405" spans="1:12" x14ac:dyDescent="0.2">
      <c r="A405" s="111" t="s">
        <v>483</v>
      </c>
      <c r="B405" s="132">
        <v>27</v>
      </c>
      <c r="C405" s="111">
        <v>175.26</v>
      </c>
      <c r="D405" s="111">
        <v>70.306759999999997</v>
      </c>
      <c r="E405" s="111">
        <v>72</v>
      </c>
      <c r="F405" s="111">
        <v>14</v>
      </c>
      <c r="G405" s="133">
        <v>0.7857142857142857</v>
      </c>
      <c r="H405" s="111">
        <v>43.357142857142854</v>
      </c>
      <c r="I405" s="111">
        <v>1.1428571428571428</v>
      </c>
      <c r="J405" s="111">
        <v>0.6428571428571429</v>
      </c>
      <c r="K405" s="111">
        <v>0.7857142857142857</v>
      </c>
      <c r="L405">
        <v>1</v>
      </c>
    </row>
    <row r="406" spans="1:12" x14ac:dyDescent="0.2">
      <c r="A406" s="111" t="s">
        <v>484</v>
      </c>
      <c r="B406" s="132" t="s">
        <v>1596</v>
      </c>
      <c r="C406" s="111">
        <v>177.8</v>
      </c>
      <c r="D406" s="111">
        <v>96.161503999999994</v>
      </c>
      <c r="E406" s="111">
        <v>71.832059999999998</v>
      </c>
      <c r="F406" s="111">
        <v>2</v>
      </c>
      <c r="G406" s="133">
        <v>0.5</v>
      </c>
      <c r="H406" s="111">
        <v>5.5</v>
      </c>
      <c r="I406" s="111">
        <v>0.5</v>
      </c>
      <c r="J406" s="111">
        <v>0</v>
      </c>
      <c r="K406" s="111">
        <v>0</v>
      </c>
      <c r="L406">
        <v>0</v>
      </c>
    </row>
    <row r="407" spans="1:12" x14ac:dyDescent="0.2">
      <c r="A407" s="111" t="s">
        <v>485</v>
      </c>
      <c r="B407" s="132">
        <v>37</v>
      </c>
      <c r="C407" s="111">
        <v>185.42</v>
      </c>
      <c r="D407" s="111">
        <v>83.914519999999996</v>
      </c>
      <c r="E407" s="111">
        <v>73</v>
      </c>
      <c r="F407" s="111">
        <v>5</v>
      </c>
      <c r="G407" s="133">
        <v>0.4</v>
      </c>
      <c r="H407" s="111">
        <v>16.399999999999999</v>
      </c>
      <c r="I407" s="111">
        <v>1.4</v>
      </c>
      <c r="J407" s="111">
        <v>0.2</v>
      </c>
      <c r="K407" s="111">
        <v>1</v>
      </c>
      <c r="L407">
        <v>0</v>
      </c>
    </row>
    <row r="408" spans="1:12" x14ac:dyDescent="0.2">
      <c r="A408" s="111" t="s">
        <v>486</v>
      </c>
      <c r="B408" s="132">
        <v>47</v>
      </c>
      <c r="C408" s="111">
        <v>182.88</v>
      </c>
      <c r="D408" s="111">
        <v>90.264808000000002</v>
      </c>
      <c r="E408" s="111">
        <v>73.842215999999993</v>
      </c>
      <c r="F408" s="111">
        <v>1</v>
      </c>
      <c r="G408" s="133">
        <v>1</v>
      </c>
      <c r="H408" s="111">
        <v>9</v>
      </c>
      <c r="I408" s="111">
        <v>1</v>
      </c>
      <c r="J408" s="111">
        <v>1</v>
      </c>
      <c r="K408" s="111">
        <v>0</v>
      </c>
      <c r="L408">
        <v>0</v>
      </c>
    </row>
    <row r="409" spans="1:12" x14ac:dyDescent="0.2">
      <c r="A409" s="111" t="s">
        <v>487</v>
      </c>
      <c r="B409" s="132">
        <v>36</v>
      </c>
      <c r="C409" s="111">
        <v>185.42</v>
      </c>
      <c r="D409" s="111">
        <v>92.986360000000005</v>
      </c>
      <c r="E409" s="111">
        <v>77</v>
      </c>
      <c r="F409" s="111">
        <v>18</v>
      </c>
      <c r="G409" s="133">
        <v>0.55555555555555558</v>
      </c>
      <c r="H409" s="111">
        <v>27.222222222222221</v>
      </c>
      <c r="I409" s="111">
        <v>1.6666666666666667</v>
      </c>
      <c r="J409" s="111">
        <v>0.72222222222222221</v>
      </c>
      <c r="K409" s="111">
        <v>1.7777777777777777</v>
      </c>
      <c r="L409">
        <v>0</v>
      </c>
    </row>
    <row r="410" spans="1:12" x14ac:dyDescent="0.2">
      <c r="A410" s="111" t="s">
        <v>488</v>
      </c>
      <c r="B410" s="132">
        <v>32</v>
      </c>
      <c r="C410" s="111">
        <v>175.26</v>
      </c>
      <c r="D410" s="111">
        <v>70.306759999999997</v>
      </c>
      <c r="E410" s="111">
        <v>69</v>
      </c>
      <c r="F410" s="111">
        <v>3</v>
      </c>
      <c r="G410" s="133">
        <v>0.66666666666666663</v>
      </c>
      <c r="H410" s="111">
        <v>40.333333333333336</v>
      </c>
      <c r="I410" s="111">
        <v>3</v>
      </c>
      <c r="J410" s="111">
        <v>0</v>
      </c>
      <c r="K410" s="111">
        <v>0.66666666666666663</v>
      </c>
      <c r="L410">
        <v>0</v>
      </c>
    </row>
    <row r="411" spans="1:12" x14ac:dyDescent="0.2">
      <c r="A411" s="111" t="s">
        <v>489</v>
      </c>
      <c r="B411" s="132">
        <v>33</v>
      </c>
      <c r="C411" s="111">
        <v>182.88</v>
      </c>
      <c r="D411" s="111">
        <v>83.914519999999996</v>
      </c>
      <c r="E411" s="111">
        <v>76</v>
      </c>
      <c r="F411" s="111">
        <v>4</v>
      </c>
      <c r="G411" s="133">
        <v>0.25</v>
      </c>
      <c r="H411" s="111">
        <v>19.75</v>
      </c>
      <c r="I411" s="111">
        <v>1.25</v>
      </c>
      <c r="J411" s="111">
        <v>0</v>
      </c>
      <c r="K411" s="111">
        <v>0.5</v>
      </c>
      <c r="L411">
        <v>0</v>
      </c>
    </row>
    <row r="412" spans="1:12" x14ac:dyDescent="0.2">
      <c r="A412" s="111" t="s">
        <v>490</v>
      </c>
      <c r="B412" s="132" t="s">
        <v>1596</v>
      </c>
      <c r="C412" s="111">
        <v>177.8</v>
      </c>
      <c r="D412" s="111">
        <v>83.914519999999996</v>
      </c>
      <c r="E412" s="111">
        <v>76</v>
      </c>
      <c r="F412" s="111">
        <v>1</v>
      </c>
      <c r="G412" s="133">
        <v>0</v>
      </c>
      <c r="H412" s="111">
        <v>4</v>
      </c>
      <c r="I412" s="111">
        <v>0</v>
      </c>
      <c r="J412" s="111">
        <v>0</v>
      </c>
      <c r="K412" s="111">
        <v>0</v>
      </c>
      <c r="L412">
        <v>0</v>
      </c>
    </row>
    <row r="413" spans="1:12" x14ac:dyDescent="0.2">
      <c r="A413" s="111" t="s">
        <v>491</v>
      </c>
      <c r="B413" s="132" t="s">
        <v>1596</v>
      </c>
      <c r="C413" s="111">
        <v>170.18</v>
      </c>
      <c r="D413" s="111">
        <v>70.306759999999997</v>
      </c>
      <c r="E413" s="111">
        <v>68.816826000000006</v>
      </c>
      <c r="F413" s="111">
        <v>1</v>
      </c>
      <c r="G413" s="133">
        <v>0</v>
      </c>
      <c r="H413" s="111">
        <v>3</v>
      </c>
      <c r="I413" s="111">
        <v>2</v>
      </c>
      <c r="J413" s="111">
        <v>0</v>
      </c>
      <c r="K413" s="111">
        <v>0</v>
      </c>
      <c r="L413">
        <v>0</v>
      </c>
    </row>
    <row r="414" spans="1:12" x14ac:dyDescent="0.2">
      <c r="A414" s="111" t="s">
        <v>492</v>
      </c>
      <c r="B414" s="132">
        <v>34</v>
      </c>
      <c r="C414" s="111">
        <v>187.96</v>
      </c>
      <c r="D414" s="111">
        <v>104.32616</v>
      </c>
      <c r="E414" s="111">
        <v>74</v>
      </c>
      <c r="F414" s="111">
        <v>6</v>
      </c>
      <c r="G414" s="133">
        <v>0.5</v>
      </c>
      <c r="H414" s="111">
        <v>30.5</v>
      </c>
      <c r="I414" s="111">
        <v>0.66666666666666663</v>
      </c>
      <c r="J414" s="111">
        <v>0</v>
      </c>
      <c r="K414" s="111">
        <v>1.3333333333333333</v>
      </c>
      <c r="L414">
        <v>0</v>
      </c>
    </row>
    <row r="415" spans="1:12" x14ac:dyDescent="0.2">
      <c r="A415" s="111" t="s">
        <v>493</v>
      </c>
      <c r="B415" s="132">
        <v>32</v>
      </c>
      <c r="C415" s="111">
        <v>170.18</v>
      </c>
      <c r="D415" s="111">
        <v>61.234920000000002</v>
      </c>
      <c r="E415" s="111">
        <v>69</v>
      </c>
      <c r="F415" s="111">
        <v>8</v>
      </c>
      <c r="G415" s="133">
        <v>0.375</v>
      </c>
      <c r="H415" s="111">
        <v>38.625</v>
      </c>
      <c r="I415" s="111">
        <v>0.25</v>
      </c>
      <c r="J415" s="111">
        <v>0</v>
      </c>
      <c r="K415" s="111">
        <v>0.375</v>
      </c>
      <c r="L415">
        <v>0</v>
      </c>
    </row>
    <row r="416" spans="1:12" x14ac:dyDescent="0.2">
      <c r="A416" s="111" t="s">
        <v>494</v>
      </c>
      <c r="B416" s="132">
        <v>37</v>
      </c>
      <c r="C416" s="111">
        <v>170.18</v>
      </c>
      <c r="D416" s="111">
        <v>65.770840000000007</v>
      </c>
      <c r="E416" s="111">
        <v>68.816826000000006</v>
      </c>
      <c r="F416" s="111">
        <v>2</v>
      </c>
      <c r="G416" s="133">
        <v>0.5</v>
      </c>
      <c r="H416" s="111">
        <v>47</v>
      </c>
      <c r="I416" s="111">
        <v>0</v>
      </c>
      <c r="J416" s="111">
        <v>1</v>
      </c>
      <c r="K416" s="111">
        <v>0</v>
      </c>
      <c r="L416">
        <v>0</v>
      </c>
    </row>
    <row r="417" spans="1:12" x14ac:dyDescent="0.2">
      <c r="A417" s="111" t="s">
        <v>495</v>
      </c>
      <c r="B417" s="132">
        <v>32</v>
      </c>
      <c r="C417" s="111">
        <v>177.8</v>
      </c>
      <c r="D417" s="111">
        <v>77.110640000000004</v>
      </c>
      <c r="E417" s="111">
        <v>71</v>
      </c>
      <c r="F417" s="111">
        <v>4</v>
      </c>
      <c r="G417" s="133">
        <v>0</v>
      </c>
      <c r="H417" s="111">
        <v>17.25</v>
      </c>
      <c r="I417" s="111">
        <v>1</v>
      </c>
      <c r="J417" s="111">
        <v>0.25</v>
      </c>
      <c r="K417" s="111">
        <v>0.75</v>
      </c>
      <c r="L417">
        <v>0</v>
      </c>
    </row>
    <row r="418" spans="1:12" x14ac:dyDescent="0.2">
      <c r="A418" s="111" t="s">
        <v>496</v>
      </c>
      <c r="B418" s="132">
        <v>34</v>
      </c>
      <c r="C418" s="111">
        <v>182.88</v>
      </c>
      <c r="D418" s="111">
        <v>77.110640000000004</v>
      </c>
      <c r="E418" s="111">
        <v>73.842215999999993</v>
      </c>
      <c r="F418" s="111">
        <v>2</v>
      </c>
      <c r="G418" s="133">
        <v>0</v>
      </c>
      <c r="H418" s="111">
        <v>25.5</v>
      </c>
      <c r="I418" s="111">
        <v>0</v>
      </c>
      <c r="J418" s="111">
        <v>0</v>
      </c>
      <c r="K418" s="111">
        <v>0</v>
      </c>
      <c r="L418">
        <v>0</v>
      </c>
    </row>
    <row r="419" spans="1:12" x14ac:dyDescent="0.2">
      <c r="A419" s="111" t="s">
        <v>497</v>
      </c>
      <c r="B419" s="132">
        <v>32</v>
      </c>
      <c r="C419" s="111">
        <v>182.88</v>
      </c>
      <c r="D419" s="111">
        <v>65.770840000000007</v>
      </c>
      <c r="E419" s="111">
        <v>74</v>
      </c>
      <c r="F419" s="111">
        <v>4</v>
      </c>
      <c r="G419" s="133">
        <v>0.75</v>
      </c>
      <c r="H419" s="111">
        <v>38.75</v>
      </c>
      <c r="I419" s="111">
        <v>0</v>
      </c>
      <c r="J419" s="111">
        <v>0</v>
      </c>
      <c r="K419" s="111">
        <v>0.25</v>
      </c>
      <c r="L419">
        <v>0</v>
      </c>
    </row>
    <row r="420" spans="1:12" x14ac:dyDescent="0.2">
      <c r="A420" s="111" t="s">
        <v>498</v>
      </c>
      <c r="B420" s="132">
        <v>32</v>
      </c>
      <c r="C420" s="111">
        <v>195.58</v>
      </c>
      <c r="D420" s="111">
        <v>92.986360000000005</v>
      </c>
      <c r="E420" s="111">
        <v>79</v>
      </c>
      <c r="F420" s="111">
        <v>2</v>
      </c>
      <c r="G420" s="133">
        <v>0</v>
      </c>
      <c r="H420" s="111">
        <v>9.5</v>
      </c>
      <c r="I420" s="111">
        <v>0</v>
      </c>
      <c r="J420" s="111">
        <v>0</v>
      </c>
      <c r="K420" s="111">
        <v>0</v>
      </c>
      <c r="L420">
        <v>0</v>
      </c>
    </row>
    <row r="421" spans="1:12" x14ac:dyDescent="0.2">
      <c r="A421" s="111" t="s">
        <v>499</v>
      </c>
      <c r="B421" s="132">
        <v>30</v>
      </c>
      <c r="C421" s="111">
        <v>180.34</v>
      </c>
      <c r="D421" s="111">
        <v>70.306759999999997</v>
      </c>
      <c r="E421" s="111">
        <v>75</v>
      </c>
      <c r="F421" s="111">
        <v>14</v>
      </c>
      <c r="G421" s="133">
        <v>0.7142857142857143</v>
      </c>
      <c r="H421" s="111">
        <v>39.142857142857146</v>
      </c>
      <c r="I421" s="111">
        <v>0.42857142857142855</v>
      </c>
      <c r="J421" s="111">
        <v>7.1428571428571425E-2</v>
      </c>
      <c r="K421" s="111">
        <v>0.14285714285714285</v>
      </c>
      <c r="L421">
        <v>0</v>
      </c>
    </row>
    <row r="422" spans="1:12" x14ac:dyDescent="0.2">
      <c r="A422" s="111" t="s">
        <v>500</v>
      </c>
      <c r="B422" s="132">
        <v>31</v>
      </c>
      <c r="D422" s="111">
        <v>70.306759999999997</v>
      </c>
      <c r="E422" s="111">
        <v>70</v>
      </c>
      <c r="F422" s="111">
        <v>2</v>
      </c>
      <c r="G422" s="133">
        <v>0</v>
      </c>
      <c r="H422" s="111">
        <v>8.5</v>
      </c>
      <c r="I422" s="111">
        <v>0</v>
      </c>
      <c r="J422" s="111">
        <v>0</v>
      </c>
      <c r="K422" s="111">
        <v>0</v>
      </c>
      <c r="L422">
        <v>0</v>
      </c>
    </row>
    <row r="423" spans="1:12" x14ac:dyDescent="0.2">
      <c r="A423" s="111" t="s">
        <v>1590</v>
      </c>
      <c r="B423" s="132">
        <v>34</v>
      </c>
      <c r="C423" s="111">
        <v>185.42</v>
      </c>
      <c r="D423" s="111">
        <v>83.914519999999996</v>
      </c>
      <c r="E423" s="111">
        <v>74.847294000000005</v>
      </c>
      <c r="F423" s="111">
        <v>3</v>
      </c>
      <c r="G423" s="133">
        <v>0</v>
      </c>
      <c r="H423" s="111">
        <v>5</v>
      </c>
      <c r="I423" s="111">
        <v>0.66666666666666663</v>
      </c>
      <c r="J423" s="111">
        <v>1</v>
      </c>
      <c r="K423" s="111">
        <v>0.66666666666666663</v>
      </c>
      <c r="L423">
        <v>0</v>
      </c>
    </row>
    <row r="424" spans="1:12" x14ac:dyDescent="0.2">
      <c r="A424" s="111" t="s">
        <v>501</v>
      </c>
      <c r="B424" s="132">
        <v>32</v>
      </c>
      <c r="C424" s="111">
        <v>170.18</v>
      </c>
      <c r="D424" s="111">
        <v>61.234920000000002</v>
      </c>
      <c r="E424" s="111">
        <v>69</v>
      </c>
      <c r="F424" s="111">
        <v>6</v>
      </c>
      <c r="G424" s="133">
        <v>0.33333333333333331</v>
      </c>
      <c r="H424" s="111">
        <v>32.166666666666664</v>
      </c>
      <c r="I424" s="111">
        <v>0.16666666666666666</v>
      </c>
      <c r="J424" s="111">
        <v>0.5</v>
      </c>
      <c r="K424" s="111">
        <v>0.83333333333333337</v>
      </c>
      <c r="L424">
        <v>0</v>
      </c>
    </row>
    <row r="425" spans="1:12" x14ac:dyDescent="0.2">
      <c r="A425" s="111" t="s">
        <v>502</v>
      </c>
      <c r="B425" s="132">
        <v>30</v>
      </c>
      <c r="C425" s="111">
        <v>175.26</v>
      </c>
      <c r="D425" s="111">
        <v>70.306759999999997</v>
      </c>
      <c r="E425" s="111">
        <v>70</v>
      </c>
      <c r="F425" s="111">
        <v>11</v>
      </c>
      <c r="G425" s="133">
        <v>0.45454545454545453</v>
      </c>
      <c r="H425" s="111">
        <v>33.18181818181818</v>
      </c>
      <c r="I425" s="111">
        <v>1.0909090909090908</v>
      </c>
      <c r="J425" s="111">
        <v>0.72727272727272729</v>
      </c>
      <c r="K425" s="111">
        <v>0.63636363636363635</v>
      </c>
      <c r="L425">
        <v>0</v>
      </c>
    </row>
    <row r="426" spans="1:12" x14ac:dyDescent="0.2">
      <c r="A426" s="111" t="s">
        <v>503</v>
      </c>
      <c r="B426" s="132">
        <v>40</v>
      </c>
      <c r="C426" s="111">
        <v>170.18</v>
      </c>
      <c r="D426" s="111">
        <v>65.770840000000007</v>
      </c>
      <c r="E426" s="111">
        <v>68.816826000000006</v>
      </c>
      <c r="F426" s="111">
        <v>2</v>
      </c>
      <c r="G426" s="133">
        <v>0</v>
      </c>
      <c r="H426" s="111">
        <v>18.5</v>
      </c>
      <c r="I426" s="111">
        <v>0.5</v>
      </c>
      <c r="J426" s="111">
        <v>0.5</v>
      </c>
      <c r="K426" s="111">
        <v>0.5</v>
      </c>
      <c r="L426">
        <v>1</v>
      </c>
    </row>
    <row r="427" spans="1:12" x14ac:dyDescent="0.2">
      <c r="A427" s="111" t="s">
        <v>504</v>
      </c>
      <c r="B427" s="132">
        <v>30</v>
      </c>
      <c r="C427" s="111">
        <v>180.34</v>
      </c>
      <c r="D427" s="111">
        <v>70.306759999999997</v>
      </c>
      <c r="E427" s="111">
        <v>73</v>
      </c>
      <c r="F427" s="111">
        <v>5</v>
      </c>
      <c r="G427" s="133">
        <v>0.6</v>
      </c>
      <c r="H427" s="111">
        <v>54.6</v>
      </c>
      <c r="I427" s="111">
        <v>1.6</v>
      </c>
      <c r="J427" s="111">
        <v>0.2</v>
      </c>
      <c r="K427" s="111">
        <v>2.4</v>
      </c>
      <c r="L427">
        <v>0</v>
      </c>
    </row>
    <row r="428" spans="1:12" x14ac:dyDescent="0.2">
      <c r="A428" s="111" t="s">
        <v>505</v>
      </c>
      <c r="B428" s="132">
        <v>28</v>
      </c>
      <c r="C428" s="111">
        <v>185.42</v>
      </c>
      <c r="D428" s="111">
        <v>83.914519999999996</v>
      </c>
      <c r="E428" s="111">
        <v>75</v>
      </c>
      <c r="F428" s="111">
        <v>4</v>
      </c>
      <c r="G428" s="133">
        <v>0.75</v>
      </c>
      <c r="H428" s="111">
        <v>45.75</v>
      </c>
      <c r="I428" s="111">
        <v>2.25</v>
      </c>
      <c r="J428" s="111">
        <v>0</v>
      </c>
      <c r="K428" s="111">
        <v>1.25</v>
      </c>
      <c r="L428">
        <v>0</v>
      </c>
    </row>
    <row r="429" spans="1:12" x14ac:dyDescent="0.2">
      <c r="A429" s="111" t="s">
        <v>506</v>
      </c>
      <c r="B429" s="132">
        <v>36</v>
      </c>
      <c r="C429" s="111">
        <v>187.96</v>
      </c>
      <c r="D429" s="111">
        <v>92.986360000000005</v>
      </c>
      <c r="E429" s="111">
        <v>77</v>
      </c>
      <c r="F429" s="111">
        <v>6</v>
      </c>
      <c r="G429" s="133">
        <v>0.5</v>
      </c>
      <c r="H429" s="111">
        <v>20.5</v>
      </c>
      <c r="I429" s="111">
        <v>0.33333333333333331</v>
      </c>
      <c r="J429" s="111">
        <v>0.66666666666666663</v>
      </c>
      <c r="K429" s="111">
        <v>0.66666666666666663</v>
      </c>
      <c r="L429">
        <v>0</v>
      </c>
    </row>
    <row r="430" spans="1:12" x14ac:dyDescent="0.2">
      <c r="A430" s="111" t="s">
        <v>507</v>
      </c>
      <c r="B430" s="132">
        <v>30</v>
      </c>
      <c r="C430" s="111">
        <v>167.64</v>
      </c>
      <c r="D430" s="111">
        <v>61.234920000000002</v>
      </c>
      <c r="E430" s="111">
        <v>65</v>
      </c>
      <c r="F430" s="111">
        <v>3</v>
      </c>
      <c r="G430" s="133">
        <v>0.33333333333333331</v>
      </c>
      <c r="H430" s="111">
        <v>47</v>
      </c>
      <c r="I430" s="111">
        <v>0.66666666666666663</v>
      </c>
      <c r="J430" s="111">
        <v>0.33333333333333331</v>
      </c>
      <c r="K430" s="111">
        <v>2.3333333333333335</v>
      </c>
      <c r="L430">
        <v>0</v>
      </c>
    </row>
    <row r="431" spans="1:12" x14ac:dyDescent="0.2">
      <c r="A431" s="111" t="s">
        <v>508</v>
      </c>
      <c r="B431" s="132" t="s">
        <v>1596</v>
      </c>
      <c r="C431" s="111">
        <v>180.34</v>
      </c>
      <c r="D431" s="111">
        <v>77.110640000000004</v>
      </c>
      <c r="E431" s="111">
        <v>73</v>
      </c>
      <c r="F431" s="111">
        <v>1</v>
      </c>
      <c r="G431" s="133">
        <v>0</v>
      </c>
      <c r="H431" s="111">
        <v>57</v>
      </c>
      <c r="I431" s="111">
        <v>0</v>
      </c>
      <c r="J431" s="111">
        <v>0</v>
      </c>
      <c r="K431" s="111">
        <v>0</v>
      </c>
      <c r="L431">
        <v>0</v>
      </c>
    </row>
    <row r="432" spans="1:12" x14ac:dyDescent="0.2">
      <c r="A432" s="111" t="s">
        <v>509</v>
      </c>
      <c r="B432" s="132">
        <v>30</v>
      </c>
      <c r="C432" s="111">
        <v>182.88</v>
      </c>
      <c r="D432" s="111">
        <v>92.986360000000005</v>
      </c>
      <c r="E432" s="111">
        <v>72</v>
      </c>
      <c r="F432" s="111">
        <v>1</v>
      </c>
      <c r="G432" s="133">
        <v>0</v>
      </c>
      <c r="H432" s="111">
        <v>38</v>
      </c>
      <c r="I432" s="111">
        <v>0</v>
      </c>
      <c r="J432" s="111">
        <v>0</v>
      </c>
      <c r="K432" s="111">
        <v>0</v>
      </c>
      <c r="L432">
        <v>0</v>
      </c>
    </row>
    <row r="433" spans="1:12" x14ac:dyDescent="0.2">
      <c r="A433" s="111" t="s">
        <v>510</v>
      </c>
      <c r="B433" s="132">
        <v>45</v>
      </c>
      <c r="C433" s="111">
        <v>190.5</v>
      </c>
      <c r="D433" s="111">
        <v>92.986360000000005</v>
      </c>
      <c r="E433" s="111">
        <v>77</v>
      </c>
      <c r="F433" s="111">
        <v>7</v>
      </c>
      <c r="G433" s="133">
        <v>0.14285714285714285</v>
      </c>
      <c r="H433" s="111">
        <v>7.8571428571428568</v>
      </c>
      <c r="I433" s="111">
        <v>0</v>
      </c>
      <c r="J433" s="111">
        <v>0.5714285714285714</v>
      </c>
      <c r="K433" s="111">
        <v>0.2857142857142857</v>
      </c>
      <c r="L433">
        <v>0</v>
      </c>
    </row>
    <row r="434" spans="1:12" x14ac:dyDescent="0.2">
      <c r="A434" s="111" t="s">
        <v>511</v>
      </c>
      <c r="B434" s="132">
        <v>35</v>
      </c>
      <c r="C434" s="111">
        <v>160.02000000000001</v>
      </c>
      <c r="D434" s="111">
        <v>52.163080000000001</v>
      </c>
      <c r="E434" s="111">
        <v>66</v>
      </c>
      <c r="F434" s="111">
        <v>2</v>
      </c>
      <c r="G434" s="133">
        <v>0</v>
      </c>
      <c r="H434" s="111">
        <v>31.5</v>
      </c>
      <c r="I434" s="111">
        <v>1.5</v>
      </c>
      <c r="J434" s="111">
        <v>0</v>
      </c>
      <c r="K434" s="111">
        <v>0</v>
      </c>
      <c r="L434">
        <v>0</v>
      </c>
    </row>
    <row r="435" spans="1:12" x14ac:dyDescent="0.2">
      <c r="A435" s="111" t="s">
        <v>512</v>
      </c>
      <c r="B435" s="132">
        <v>52</v>
      </c>
      <c r="C435" s="111">
        <v>203.2</v>
      </c>
      <c r="D435" s="111">
        <v>349.26584000000003</v>
      </c>
      <c r="E435" s="111">
        <v>81.882840000000002</v>
      </c>
      <c r="F435" s="111">
        <v>1</v>
      </c>
      <c r="G435" s="133">
        <v>0</v>
      </c>
      <c r="H435" s="111">
        <v>1</v>
      </c>
      <c r="I435" s="111">
        <v>0</v>
      </c>
      <c r="J435" s="111">
        <v>0</v>
      </c>
      <c r="K435" s="111">
        <v>0</v>
      </c>
      <c r="L435">
        <v>0</v>
      </c>
    </row>
    <row r="436" spans="1:12" x14ac:dyDescent="0.2">
      <c r="A436" s="111" t="s">
        <v>513</v>
      </c>
      <c r="B436" s="132">
        <v>27</v>
      </c>
      <c r="C436" s="111">
        <v>170.18</v>
      </c>
      <c r="D436" s="111">
        <v>70.306759999999997</v>
      </c>
      <c r="E436" s="111">
        <v>70</v>
      </c>
      <c r="F436" s="111">
        <v>1</v>
      </c>
      <c r="G436" s="133">
        <v>1</v>
      </c>
      <c r="H436" s="111">
        <v>38</v>
      </c>
      <c r="I436" s="111">
        <v>5</v>
      </c>
      <c r="J436" s="111">
        <v>0</v>
      </c>
      <c r="K436" s="111">
        <v>1</v>
      </c>
      <c r="L436">
        <v>0</v>
      </c>
    </row>
    <row r="437" spans="1:12" x14ac:dyDescent="0.2">
      <c r="A437" s="111" t="s">
        <v>514</v>
      </c>
      <c r="B437" s="132" t="s">
        <v>1596</v>
      </c>
      <c r="C437" s="111">
        <v>172.72</v>
      </c>
      <c r="D437" s="111">
        <v>61.234920000000002</v>
      </c>
      <c r="E437" s="111">
        <v>69</v>
      </c>
      <c r="F437" s="111">
        <v>2</v>
      </c>
      <c r="G437" s="133">
        <v>0.5</v>
      </c>
      <c r="H437" s="111">
        <v>33.5</v>
      </c>
      <c r="I437" s="111">
        <v>0</v>
      </c>
      <c r="J437" s="111">
        <v>0.5</v>
      </c>
      <c r="K437" s="111">
        <v>0.5</v>
      </c>
      <c r="L437">
        <v>0</v>
      </c>
    </row>
    <row r="438" spans="1:12" x14ac:dyDescent="0.2">
      <c r="A438" s="111" t="s">
        <v>515</v>
      </c>
      <c r="B438" s="132" t="s">
        <v>1596</v>
      </c>
      <c r="C438" s="111">
        <v>177.8</v>
      </c>
      <c r="D438" s="111">
        <v>77.110640000000004</v>
      </c>
      <c r="E438" s="111">
        <v>74</v>
      </c>
      <c r="F438" s="111">
        <v>1</v>
      </c>
      <c r="G438" s="133">
        <v>0</v>
      </c>
      <c r="H438" s="111">
        <v>27</v>
      </c>
      <c r="I438" s="111">
        <v>1</v>
      </c>
      <c r="J438" s="111">
        <v>0</v>
      </c>
      <c r="K438" s="111">
        <v>0</v>
      </c>
      <c r="L438">
        <v>0</v>
      </c>
    </row>
    <row r="439" spans="1:12" x14ac:dyDescent="0.2">
      <c r="A439" s="111" t="s">
        <v>516</v>
      </c>
      <c r="B439" s="132">
        <v>49</v>
      </c>
      <c r="C439" s="111">
        <v>177.8</v>
      </c>
      <c r="D439" s="111">
        <v>95.254320000000007</v>
      </c>
      <c r="E439" s="111">
        <v>71.832059999999998</v>
      </c>
      <c r="F439" s="111">
        <v>1</v>
      </c>
      <c r="G439" s="133">
        <v>1</v>
      </c>
      <c r="H439" s="111">
        <v>0</v>
      </c>
      <c r="I439" s="111">
        <v>0</v>
      </c>
      <c r="J439" s="111">
        <v>1</v>
      </c>
      <c r="K439" s="111">
        <v>0</v>
      </c>
      <c r="L439">
        <v>0</v>
      </c>
    </row>
    <row r="440" spans="1:12" x14ac:dyDescent="0.2">
      <c r="A440" s="111" t="s">
        <v>517</v>
      </c>
      <c r="B440" s="132">
        <v>39</v>
      </c>
      <c r="C440" s="111">
        <v>190.5</v>
      </c>
      <c r="D440" s="111">
        <v>83.914519999999996</v>
      </c>
      <c r="E440" s="111">
        <v>75</v>
      </c>
      <c r="F440" s="111">
        <v>9</v>
      </c>
      <c r="G440" s="133">
        <v>0.33333333333333331</v>
      </c>
      <c r="H440" s="111">
        <v>15.666666666666666</v>
      </c>
      <c r="I440" s="111">
        <v>1</v>
      </c>
      <c r="J440" s="111">
        <v>1</v>
      </c>
      <c r="K440" s="111">
        <v>1.7777777777777777</v>
      </c>
      <c r="L440">
        <v>0</v>
      </c>
    </row>
    <row r="441" spans="1:12" x14ac:dyDescent="0.2">
      <c r="A441" s="111" t="s">
        <v>518</v>
      </c>
      <c r="B441" s="132">
        <v>32</v>
      </c>
      <c r="C441" s="111">
        <v>172.72</v>
      </c>
      <c r="D441" s="111">
        <v>65.770840000000007</v>
      </c>
      <c r="E441" s="111">
        <v>69.821904000000004</v>
      </c>
      <c r="F441" s="111">
        <v>2</v>
      </c>
      <c r="G441" s="133">
        <v>0</v>
      </c>
      <c r="H441" s="111">
        <v>19</v>
      </c>
      <c r="I441" s="111">
        <v>0</v>
      </c>
      <c r="J441" s="111">
        <v>0</v>
      </c>
      <c r="K441" s="111">
        <v>0</v>
      </c>
      <c r="L441">
        <v>1</v>
      </c>
    </row>
    <row r="442" spans="1:12" x14ac:dyDescent="0.2">
      <c r="A442" s="111" t="s">
        <v>519</v>
      </c>
      <c r="B442" s="132" t="s">
        <v>1596</v>
      </c>
      <c r="C442" s="111">
        <v>182.88</v>
      </c>
      <c r="D442" s="111">
        <v>77.110640000000004</v>
      </c>
      <c r="E442" s="111">
        <v>73</v>
      </c>
      <c r="F442" s="111">
        <v>1</v>
      </c>
      <c r="G442" s="133">
        <v>1</v>
      </c>
      <c r="H442" s="111">
        <v>49</v>
      </c>
      <c r="I442" s="111">
        <v>2</v>
      </c>
      <c r="J442" s="111">
        <v>0</v>
      </c>
      <c r="K442" s="111">
        <v>1</v>
      </c>
      <c r="L442">
        <v>0</v>
      </c>
    </row>
    <row r="443" spans="1:12" x14ac:dyDescent="0.2">
      <c r="A443" s="111" t="s">
        <v>520</v>
      </c>
      <c r="B443" s="132">
        <v>32</v>
      </c>
      <c r="C443" s="111">
        <v>182.88</v>
      </c>
      <c r="D443" s="111">
        <v>77.110640000000004</v>
      </c>
      <c r="E443" s="111">
        <v>74</v>
      </c>
      <c r="F443" s="111">
        <v>11</v>
      </c>
      <c r="G443" s="133">
        <v>0.54545454545454541</v>
      </c>
      <c r="H443" s="111">
        <v>14.272727272727273</v>
      </c>
      <c r="I443" s="111">
        <v>0.54545454545454541</v>
      </c>
      <c r="J443" s="111">
        <v>0.72727272727272729</v>
      </c>
      <c r="K443" s="111">
        <v>0.63636363636363635</v>
      </c>
      <c r="L443">
        <v>0</v>
      </c>
    </row>
    <row r="444" spans="1:12" x14ac:dyDescent="0.2">
      <c r="A444" s="111" t="s">
        <v>521</v>
      </c>
      <c r="B444" s="132">
        <v>27</v>
      </c>
      <c r="C444" s="111">
        <v>167.64</v>
      </c>
      <c r="D444" s="111">
        <v>52.163080000000001</v>
      </c>
      <c r="E444" s="111">
        <v>68</v>
      </c>
      <c r="F444" s="111">
        <v>2</v>
      </c>
      <c r="G444" s="133">
        <v>0</v>
      </c>
      <c r="H444" s="111">
        <v>16</v>
      </c>
      <c r="I444" s="111">
        <v>0.5</v>
      </c>
      <c r="J444" s="111">
        <v>0</v>
      </c>
      <c r="K444" s="111">
        <v>1</v>
      </c>
      <c r="L444">
        <v>0</v>
      </c>
    </row>
    <row r="445" spans="1:12" x14ac:dyDescent="0.2">
      <c r="A445" s="111" t="s">
        <v>522</v>
      </c>
      <c r="B445" s="132">
        <v>28</v>
      </c>
      <c r="C445" s="111">
        <v>177.8</v>
      </c>
      <c r="D445" s="111">
        <v>70.306759999999997</v>
      </c>
      <c r="E445" s="111">
        <v>70</v>
      </c>
      <c r="F445" s="111">
        <v>6</v>
      </c>
      <c r="G445" s="133">
        <v>0.5</v>
      </c>
      <c r="H445" s="111">
        <v>19.166666666666668</v>
      </c>
      <c r="I445" s="111">
        <v>0</v>
      </c>
      <c r="J445" s="111">
        <v>0.83333333333333337</v>
      </c>
      <c r="K445" s="111">
        <v>0.16666666666666666</v>
      </c>
      <c r="L445">
        <v>1</v>
      </c>
    </row>
    <row r="446" spans="1:12" x14ac:dyDescent="0.2">
      <c r="A446" s="111" t="s">
        <v>523</v>
      </c>
      <c r="B446" s="132">
        <v>27</v>
      </c>
      <c r="C446" s="111">
        <v>172.72</v>
      </c>
      <c r="D446" s="111">
        <v>61.234920000000002</v>
      </c>
      <c r="E446" s="111">
        <v>68</v>
      </c>
      <c r="F446" s="111">
        <v>7</v>
      </c>
      <c r="G446" s="133">
        <v>0.7142857142857143</v>
      </c>
      <c r="H446" s="111">
        <v>27.857142857142858</v>
      </c>
      <c r="I446" s="111">
        <v>2</v>
      </c>
      <c r="J446" s="111">
        <v>0.14285714285714285</v>
      </c>
      <c r="K446" s="111">
        <v>1.2857142857142858</v>
      </c>
      <c r="L446">
        <v>0</v>
      </c>
    </row>
    <row r="447" spans="1:12" x14ac:dyDescent="0.2">
      <c r="A447" s="111" t="s">
        <v>524</v>
      </c>
      <c r="B447" s="132">
        <v>33</v>
      </c>
      <c r="C447" s="111">
        <v>172.72</v>
      </c>
      <c r="D447" s="111">
        <v>65.770840000000007</v>
      </c>
      <c r="E447" s="111">
        <v>70</v>
      </c>
      <c r="F447" s="111">
        <v>3</v>
      </c>
      <c r="G447" s="133">
        <v>0.33333333333333331</v>
      </c>
      <c r="H447" s="111">
        <v>31.333333333333332</v>
      </c>
      <c r="I447" s="111">
        <v>0.66666666666666663</v>
      </c>
      <c r="J447" s="111">
        <v>0</v>
      </c>
      <c r="K447" s="111">
        <v>1.6666666666666667</v>
      </c>
      <c r="L447">
        <v>0</v>
      </c>
    </row>
    <row r="448" spans="1:12" x14ac:dyDescent="0.2">
      <c r="A448" s="111" t="s">
        <v>525</v>
      </c>
      <c r="B448" s="132" t="s">
        <v>1596</v>
      </c>
      <c r="C448" s="111">
        <v>180.34</v>
      </c>
      <c r="D448" s="111">
        <v>90.264808000000002</v>
      </c>
      <c r="E448" s="111">
        <v>72.837137999999996</v>
      </c>
      <c r="F448" s="111">
        <v>1</v>
      </c>
      <c r="G448" s="133">
        <v>0</v>
      </c>
      <c r="H448" s="111">
        <v>2</v>
      </c>
      <c r="I448" s="111">
        <v>0</v>
      </c>
      <c r="J448" s="111">
        <v>0</v>
      </c>
      <c r="K448" s="111">
        <v>0</v>
      </c>
      <c r="L448">
        <v>0</v>
      </c>
    </row>
    <row r="449" spans="1:12" x14ac:dyDescent="0.2">
      <c r="A449" s="111" t="s">
        <v>526</v>
      </c>
      <c r="B449" s="132">
        <v>34</v>
      </c>
      <c r="C449" s="111">
        <v>177.8</v>
      </c>
      <c r="D449" s="111">
        <v>65.770840000000007</v>
      </c>
      <c r="E449" s="111">
        <v>72</v>
      </c>
      <c r="F449" s="111">
        <v>3</v>
      </c>
      <c r="G449" s="133">
        <v>0</v>
      </c>
      <c r="H449" s="111">
        <v>22.333333333333332</v>
      </c>
      <c r="I449" s="111">
        <v>0.33333333333333331</v>
      </c>
      <c r="J449" s="111">
        <v>0.33333333333333331</v>
      </c>
      <c r="K449" s="111">
        <v>0.66666666666666663</v>
      </c>
      <c r="L449">
        <v>0</v>
      </c>
    </row>
    <row r="450" spans="1:12" x14ac:dyDescent="0.2">
      <c r="A450" s="111" t="s">
        <v>527</v>
      </c>
      <c r="B450" s="132">
        <v>46</v>
      </c>
      <c r="C450" s="111">
        <v>172.72</v>
      </c>
      <c r="D450" s="111">
        <v>83.914519999999996</v>
      </c>
      <c r="E450" s="111">
        <v>69.821904000000004</v>
      </c>
      <c r="F450" s="111">
        <v>6</v>
      </c>
      <c r="G450" s="133">
        <v>0.33333333333333331</v>
      </c>
      <c r="H450" s="111">
        <v>4.833333333333333</v>
      </c>
      <c r="I450" s="111">
        <v>0.33333333333333331</v>
      </c>
      <c r="J450" s="111">
        <v>0.83333333333333337</v>
      </c>
      <c r="K450" s="111">
        <v>0</v>
      </c>
      <c r="L450">
        <v>0</v>
      </c>
    </row>
    <row r="451" spans="1:12" x14ac:dyDescent="0.2">
      <c r="A451" s="111" t="s">
        <v>528</v>
      </c>
      <c r="B451" s="132" t="s">
        <v>1596</v>
      </c>
      <c r="C451" s="111">
        <v>172.72</v>
      </c>
      <c r="D451" s="111">
        <v>72.574719999999999</v>
      </c>
      <c r="E451" s="111">
        <v>69.821904000000004</v>
      </c>
      <c r="F451" s="111">
        <v>1</v>
      </c>
      <c r="G451" s="133">
        <v>0</v>
      </c>
      <c r="H451" s="111">
        <v>6</v>
      </c>
      <c r="I451" s="111">
        <v>0</v>
      </c>
      <c r="J451" s="111">
        <v>0</v>
      </c>
      <c r="K451" s="111">
        <v>0</v>
      </c>
      <c r="L451">
        <v>0</v>
      </c>
    </row>
    <row r="452" spans="1:12" x14ac:dyDescent="0.2">
      <c r="A452" s="111" t="s">
        <v>529</v>
      </c>
      <c r="B452" s="132">
        <v>35</v>
      </c>
      <c r="C452" s="111">
        <v>177.8</v>
      </c>
      <c r="D452" s="111">
        <v>70.306759999999997</v>
      </c>
      <c r="E452" s="111">
        <v>70</v>
      </c>
      <c r="F452" s="111">
        <v>16</v>
      </c>
      <c r="G452" s="133">
        <v>0.625</v>
      </c>
      <c r="H452" s="111">
        <v>63.5</v>
      </c>
      <c r="I452" s="111">
        <v>1.4375</v>
      </c>
      <c r="J452" s="111">
        <v>0.8125</v>
      </c>
      <c r="K452" s="111">
        <v>0.875</v>
      </c>
      <c r="L452">
        <v>1</v>
      </c>
    </row>
    <row r="453" spans="1:12" x14ac:dyDescent="0.2">
      <c r="A453" s="111" t="s">
        <v>530</v>
      </c>
      <c r="B453" s="132">
        <v>45</v>
      </c>
      <c r="C453" s="111">
        <v>182.88</v>
      </c>
      <c r="D453" s="111">
        <v>83.914519999999996</v>
      </c>
      <c r="E453" s="111">
        <v>74</v>
      </c>
      <c r="F453" s="111">
        <v>17</v>
      </c>
      <c r="G453" s="133">
        <v>0.6470588235294118</v>
      </c>
      <c r="H453" s="111">
        <v>22.823529411764707</v>
      </c>
      <c r="I453" s="111">
        <v>1.2352941176470589</v>
      </c>
      <c r="J453" s="111">
        <v>0.88235294117647056</v>
      </c>
      <c r="K453" s="111">
        <v>1.4705882352941178</v>
      </c>
      <c r="L453">
        <v>0</v>
      </c>
    </row>
    <row r="454" spans="1:12" x14ac:dyDescent="0.2">
      <c r="A454" s="111" t="s">
        <v>531</v>
      </c>
      <c r="B454" s="132">
        <v>46</v>
      </c>
      <c r="C454" s="111">
        <v>172.72</v>
      </c>
      <c r="D454" s="111">
        <v>70.306759999999997</v>
      </c>
      <c r="E454" s="111">
        <v>69.821904000000004</v>
      </c>
      <c r="F454" s="111">
        <v>7</v>
      </c>
      <c r="G454" s="133">
        <v>0.42857142857142855</v>
      </c>
      <c r="H454" s="111">
        <v>6.4285714285714288</v>
      </c>
      <c r="I454" s="111">
        <v>0.8571428571428571</v>
      </c>
      <c r="J454" s="111">
        <v>1.1428571428571428</v>
      </c>
      <c r="K454" s="111">
        <v>0.42857142857142855</v>
      </c>
      <c r="L454">
        <v>0</v>
      </c>
    </row>
    <row r="455" spans="1:12" x14ac:dyDescent="0.2">
      <c r="A455" s="111" t="s">
        <v>532</v>
      </c>
      <c r="B455" s="132">
        <v>44</v>
      </c>
      <c r="C455" s="111">
        <v>190.5</v>
      </c>
      <c r="D455" s="111">
        <v>116.573144</v>
      </c>
      <c r="E455" s="111">
        <v>76.85745</v>
      </c>
      <c r="F455" s="111">
        <v>2</v>
      </c>
      <c r="G455" s="133">
        <v>0</v>
      </c>
      <c r="H455" s="111">
        <v>9</v>
      </c>
      <c r="I455" s="111">
        <v>0.5</v>
      </c>
      <c r="J455" s="111">
        <v>0</v>
      </c>
      <c r="K455" s="111">
        <v>1</v>
      </c>
      <c r="L455">
        <v>0</v>
      </c>
    </row>
    <row r="456" spans="1:12" x14ac:dyDescent="0.2">
      <c r="A456" s="111" t="s">
        <v>533</v>
      </c>
      <c r="B456" s="132">
        <v>46</v>
      </c>
      <c r="C456" s="111">
        <v>182.88</v>
      </c>
      <c r="D456" s="111">
        <v>92.986360000000005</v>
      </c>
      <c r="E456" s="111">
        <v>73.842215999999993</v>
      </c>
      <c r="F456" s="111">
        <v>1</v>
      </c>
      <c r="G456" s="133">
        <v>0</v>
      </c>
      <c r="H456" s="111">
        <v>2</v>
      </c>
      <c r="I456" s="111">
        <v>1</v>
      </c>
      <c r="J456" s="111">
        <v>1</v>
      </c>
      <c r="K456" s="111">
        <v>1</v>
      </c>
      <c r="L456">
        <v>0</v>
      </c>
    </row>
    <row r="457" spans="1:12" x14ac:dyDescent="0.2">
      <c r="A457" s="111" t="s">
        <v>534</v>
      </c>
      <c r="B457" s="132">
        <v>36</v>
      </c>
      <c r="C457" s="111">
        <v>185.42</v>
      </c>
      <c r="D457" s="111">
        <v>92.986360000000005</v>
      </c>
      <c r="E457" s="111">
        <v>75</v>
      </c>
      <c r="F457" s="111">
        <v>11</v>
      </c>
      <c r="G457" s="133">
        <v>0.45454545454545453</v>
      </c>
      <c r="H457" s="111">
        <v>65.181818181818187</v>
      </c>
      <c r="I457" s="111">
        <v>0.36363636363636365</v>
      </c>
      <c r="J457" s="111">
        <v>0.45454545454545453</v>
      </c>
      <c r="K457" s="111">
        <v>0.45454545454545453</v>
      </c>
      <c r="L457">
        <v>0</v>
      </c>
    </row>
    <row r="458" spans="1:12" x14ac:dyDescent="0.2">
      <c r="A458" s="111" t="s">
        <v>535</v>
      </c>
      <c r="B458" s="132">
        <v>38</v>
      </c>
      <c r="C458" s="111">
        <v>177.8</v>
      </c>
      <c r="D458" s="111">
        <v>70.306759999999997</v>
      </c>
      <c r="E458" s="111">
        <v>73</v>
      </c>
      <c r="F458" s="111">
        <v>6</v>
      </c>
      <c r="G458" s="133">
        <v>0.16666666666666666</v>
      </c>
      <c r="H458" s="111">
        <v>11</v>
      </c>
      <c r="I458" s="111">
        <v>1.3333333333333333</v>
      </c>
      <c r="J458" s="111">
        <v>0.83333333333333337</v>
      </c>
      <c r="K458" s="111">
        <v>0.66666666666666663</v>
      </c>
      <c r="L458">
        <v>0</v>
      </c>
    </row>
    <row r="459" spans="1:12" x14ac:dyDescent="0.2">
      <c r="A459" s="111" t="s">
        <v>536</v>
      </c>
      <c r="B459" s="132">
        <v>39</v>
      </c>
      <c r="C459" s="111">
        <v>193.04</v>
      </c>
      <c r="D459" s="111">
        <v>104.779752</v>
      </c>
      <c r="E459" s="111">
        <v>77</v>
      </c>
      <c r="F459" s="111">
        <v>10</v>
      </c>
      <c r="G459" s="133">
        <v>0.8</v>
      </c>
      <c r="H459" s="111">
        <v>48.2</v>
      </c>
      <c r="I459" s="111">
        <v>0.6</v>
      </c>
      <c r="J459" s="111">
        <v>0.2</v>
      </c>
      <c r="K459" s="111">
        <v>1.3</v>
      </c>
      <c r="L459">
        <v>0</v>
      </c>
    </row>
    <row r="460" spans="1:12" x14ac:dyDescent="0.2">
      <c r="A460" s="111" t="s">
        <v>537</v>
      </c>
      <c r="B460" s="132">
        <v>42</v>
      </c>
      <c r="C460" s="111">
        <v>177.8</v>
      </c>
      <c r="D460" s="111">
        <v>83.914519999999996</v>
      </c>
      <c r="E460" s="111">
        <v>71.832059999999998</v>
      </c>
      <c r="F460" s="111">
        <v>2</v>
      </c>
      <c r="G460" s="133">
        <v>0.5</v>
      </c>
      <c r="H460" s="111">
        <v>2.5</v>
      </c>
      <c r="I460" s="111">
        <v>0</v>
      </c>
      <c r="J460" s="111">
        <v>0</v>
      </c>
      <c r="K460" s="111">
        <v>1.5</v>
      </c>
      <c r="L460">
        <v>0</v>
      </c>
    </row>
    <row r="461" spans="1:12" x14ac:dyDescent="0.2">
      <c r="A461" s="111" t="s">
        <v>538</v>
      </c>
      <c r="B461" s="132">
        <v>32</v>
      </c>
      <c r="C461" s="111">
        <v>162.56</v>
      </c>
      <c r="D461" s="111">
        <v>52.163080000000001</v>
      </c>
      <c r="E461" s="111">
        <v>65</v>
      </c>
      <c r="F461" s="111">
        <v>2</v>
      </c>
      <c r="G461" s="133">
        <v>0.5</v>
      </c>
      <c r="H461" s="111">
        <v>18</v>
      </c>
      <c r="I461" s="111">
        <v>0.5</v>
      </c>
      <c r="J461" s="111">
        <v>2</v>
      </c>
      <c r="K461" s="111">
        <v>4.5</v>
      </c>
      <c r="L461">
        <v>0</v>
      </c>
    </row>
    <row r="462" spans="1:12" x14ac:dyDescent="0.2">
      <c r="A462" s="111" t="s">
        <v>539</v>
      </c>
      <c r="B462" s="132">
        <v>28</v>
      </c>
      <c r="C462" s="111">
        <v>172.72</v>
      </c>
      <c r="D462" s="111">
        <v>61.234920000000002</v>
      </c>
      <c r="E462" s="111">
        <v>73</v>
      </c>
      <c r="F462" s="111">
        <v>8</v>
      </c>
      <c r="G462" s="133">
        <v>0.5</v>
      </c>
      <c r="H462" s="111">
        <v>31.75</v>
      </c>
      <c r="I462" s="111">
        <v>1.125</v>
      </c>
      <c r="J462" s="111">
        <v>0.5</v>
      </c>
      <c r="K462" s="111">
        <v>0.75</v>
      </c>
      <c r="L462">
        <v>0</v>
      </c>
    </row>
    <row r="463" spans="1:12" x14ac:dyDescent="0.2">
      <c r="A463" s="111" t="s">
        <v>540</v>
      </c>
      <c r="B463" s="132" t="s">
        <v>1596</v>
      </c>
      <c r="C463" s="111">
        <v>175.26</v>
      </c>
      <c r="D463" s="111">
        <v>70.306759999999997</v>
      </c>
      <c r="E463" s="111">
        <v>72</v>
      </c>
      <c r="F463" s="111">
        <v>1</v>
      </c>
      <c r="G463" s="133">
        <v>0</v>
      </c>
      <c r="H463" s="111">
        <v>87</v>
      </c>
      <c r="I463" s="111">
        <v>0</v>
      </c>
      <c r="J463" s="111">
        <v>0</v>
      </c>
      <c r="K463" s="111">
        <v>0</v>
      </c>
      <c r="L463">
        <v>0</v>
      </c>
    </row>
    <row r="464" spans="1:12" x14ac:dyDescent="0.2">
      <c r="A464" s="111" t="s">
        <v>541</v>
      </c>
      <c r="B464" s="132" t="s">
        <v>1596</v>
      </c>
      <c r="F464" s="111">
        <v>1</v>
      </c>
      <c r="G464" s="133">
        <v>0</v>
      </c>
      <c r="H464" s="111">
        <v>3</v>
      </c>
      <c r="I464" s="111">
        <v>0</v>
      </c>
      <c r="J464" s="111">
        <v>0</v>
      </c>
      <c r="K464" s="111">
        <v>0</v>
      </c>
      <c r="L464">
        <v>0</v>
      </c>
    </row>
    <row r="465" spans="1:12" x14ac:dyDescent="0.2">
      <c r="A465" s="111" t="s">
        <v>542</v>
      </c>
      <c r="B465" s="132">
        <v>34</v>
      </c>
      <c r="C465" s="111">
        <v>167.64</v>
      </c>
      <c r="D465" s="111">
        <v>70.306759999999997</v>
      </c>
      <c r="E465" s="111">
        <v>70</v>
      </c>
      <c r="F465" s="111">
        <v>1</v>
      </c>
      <c r="G465" s="133">
        <v>0</v>
      </c>
      <c r="H465" s="111">
        <v>20</v>
      </c>
      <c r="I465" s="111">
        <v>2</v>
      </c>
      <c r="J465" s="111">
        <v>0</v>
      </c>
      <c r="K465" s="111">
        <v>1</v>
      </c>
      <c r="L465">
        <v>0</v>
      </c>
    </row>
    <row r="466" spans="1:12" x14ac:dyDescent="0.2">
      <c r="A466" s="111" t="s">
        <v>543</v>
      </c>
      <c r="B466" s="132">
        <v>40</v>
      </c>
      <c r="C466" s="111">
        <v>180.34</v>
      </c>
      <c r="D466" s="111">
        <v>83.007335999999995</v>
      </c>
      <c r="E466" s="111">
        <v>72.837137999999996</v>
      </c>
      <c r="F466" s="111">
        <v>1</v>
      </c>
      <c r="G466" s="133">
        <v>0</v>
      </c>
      <c r="H466" s="111">
        <v>1</v>
      </c>
      <c r="I466" s="111">
        <v>0</v>
      </c>
      <c r="J466" s="111">
        <v>0</v>
      </c>
      <c r="K466" s="111">
        <v>1</v>
      </c>
      <c r="L466">
        <v>0</v>
      </c>
    </row>
    <row r="467" spans="1:12" x14ac:dyDescent="0.2">
      <c r="A467" s="111" t="s">
        <v>544</v>
      </c>
      <c r="B467" s="132" t="s">
        <v>1596</v>
      </c>
      <c r="C467" s="111">
        <v>182.88</v>
      </c>
      <c r="D467" s="111">
        <v>83.914519999999996</v>
      </c>
      <c r="E467" s="111">
        <v>73.842215999999993</v>
      </c>
      <c r="F467" s="111">
        <v>1</v>
      </c>
      <c r="G467" s="133">
        <v>0</v>
      </c>
      <c r="H467" s="111">
        <v>3</v>
      </c>
      <c r="I467" s="111">
        <v>0</v>
      </c>
      <c r="J467" s="111">
        <v>0</v>
      </c>
      <c r="K467" s="111">
        <v>0</v>
      </c>
      <c r="L467">
        <v>0</v>
      </c>
    </row>
    <row r="468" spans="1:12" x14ac:dyDescent="0.2">
      <c r="A468" s="111" t="s">
        <v>545</v>
      </c>
      <c r="B468" s="132">
        <v>37</v>
      </c>
      <c r="C468" s="111">
        <v>190.5</v>
      </c>
      <c r="D468" s="111">
        <v>92.986360000000005</v>
      </c>
      <c r="E468" s="111">
        <v>77</v>
      </c>
      <c r="F468" s="111">
        <v>15</v>
      </c>
      <c r="G468" s="133">
        <v>0.66666666666666663</v>
      </c>
      <c r="H468" s="111">
        <v>53.06666666666667</v>
      </c>
      <c r="I468" s="111">
        <v>0.66666666666666663</v>
      </c>
      <c r="J468" s="111">
        <v>0.53333333333333333</v>
      </c>
      <c r="K468" s="111">
        <v>1</v>
      </c>
      <c r="L468">
        <v>0</v>
      </c>
    </row>
    <row r="469" spans="1:12" x14ac:dyDescent="0.2">
      <c r="A469" s="111" t="s">
        <v>546</v>
      </c>
      <c r="B469" s="132">
        <v>41</v>
      </c>
      <c r="C469" s="111">
        <v>175.26</v>
      </c>
      <c r="D469" s="111">
        <v>77.110640000000004</v>
      </c>
      <c r="E469" s="111">
        <v>71</v>
      </c>
      <c r="F469" s="111">
        <v>7</v>
      </c>
      <c r="G469" s="133">
        <v>0.2857142857142857</v>
      </c>
      <c r="H469" s="111">
        <v>26.285714285714285</v>
      </c>
      <c r="I469" s="111">
        <v>1</v>
      </c>
      <c r="J469" s="111">
        <v>0</v>
      </c>
      <c r="K469" s="111">
        <v>0.5714285714285714</v>
      </c>
      <c r="L469">
        <v>0</v>
      </c>
    </row>
    <row r="470" spans="1:12" x14ac:dyDescent="0.2">
      <c r="A470" s="111" t="s">
        <v>547</v>
      </c>
      <c r="B470" s="132">
        <v>36</v>
      </c>
      <c r="C470" s="111">
        <v>185.42</v>
      </c>
      <c r="D470" s="111">
        <v>92.986360000000005</v>
      </c>
      <c r="E470" s="111">
        <v>75</v>
      </c>
      <c r="F470" s="111">
        <v>4</v>
      </c>
      <c r="G470" s="133">
        <v>0.75</v>
      </c>
      <c r="H470" s="111">
        <v>42.5</v>
      </c>
      <c r="I470" s="111">
        <v>1.5</v>
      </c>
      <c r="J470" s="111">
        <v>0</v>
      </c>
      <c r="K470" s="111">
        <v>0.25</v>
      </c>
      <c r="L470">
        <v>0</v>
      </c>
    </row>
    <row r="471" spans="1:12" x14ac:dyDescent="0.2">
      <c r="A471" s="111" t="s">
        <v>548</v>
      </c>
      <c r="B471" s="132">
        <v>35</v>
      </c>
      <c r="C471" s="111">
        <v>190.5</v>
      </c>
      <c r="D471" s="111">
        <v>92.986360000000005</v>
      </c>
      <c r="E471" s="111">
        <v>78</v>
      </c>
      <c r="F471" s="111">
        <v>9</v>
      </c>
      <c r="G471" s="133">
        <v>0.66666666666666663</v>
      </c>
      <c r="H471" s="111">
        <v>24.888888888888889</v>
      </c>
      <c r="I471" s="111">
        <v>1.4444444444444444</v>
      </c>
      <c r="J471" s="111">
        <v>0.55555555555555558</v>
      </c>
      <c r="K471" s="111">
        <v>2.8888888888888888</v>
      </c>
      <c r="L471">
        <v>0</v>
      </c>
    </row>
    <row r="472" spans="1:12" x14ac:dyDescent="0.2">
      <c r="A472" s="111" t="s">
        <v>549</v>
      </c>
      <c r="B472" s="132">
        <v>30</v>
      </c>
      <c r="C472" s="111">
        <v>193.04</v>
      </c>
      <c r="D472" s="111">
        <v>113.398</v>
      </c>
      <c r="E472" s="111">
        <v>83</v>
      </c>
      <c r="F472" s="111">
        <v>1</v>
      </c>
      <c r="G472" s="133">
        <v>1</v>
      </c>
      <c r="H472" s="111">
        <v>25</v>
      </c>
      <c r="I472" s="111">
        <v>0</v>
      </c>
      <c r="J472" s="111">
        <v>0</v>
      </c>
      <c r="K472" s="111">
        <v>0</v>
      </c>
      <c r="L472">
        <v>0</v>
      </c>
    </row>
    <row r="473" spans="1:12" x14ac:dyDescent="0.2">
      <c r="A473" s="111" t="s">
        <v>550</v>
      </c>
      <c r="B473" s="132">
        <v>35</v>
      </c>
      <c r="C473" s="111">
        <v>172.72</v>
      </c>
      <c r="D473" s="111">
        <v>61.234920000000002</v>
      </c>
      <c r="E473" s="111">
        <v>68</v>
      </c>
      <c r="F473" s="111">
        <v>9</v>
      </c>
      <c r="G473" s="133">
        <v>0.44444444444444442</v>
      </c>
      <c r="H473" s="111">
        <v>29</v>
      </c>
      <c r="I473" s="111">
        <v>0.55555555555555558</v>
      </c>
      <c r="J473" s="111">
        <v>0.44444444444444442</v>
      </c>
      <c r="K473" s="111">
        <v>0.1111111111111111</v>
      </c>
      <c r="L473">
        <v>0</v>
      </c>
    </row>
    <row r="474" spans="1:12" x14ac:dyDescent="0.2">
      <c r="A474" s="111" t="s">
        <v>551</v>
      </c>
      <c r="B474" s="132">
        <v>35</v>
      </c>
      <c r="C474" s="111">
        <v>175.26</v>
      </c>
      <c r="D474" s="111">
        <v>70.306759999999997</v>
      </c>
      <c r="E474" s="111">
        <v>70</v>
      </c>
      <c r="F474" s="111">
        <v>3</v>
      </c>
      <c r="G474" s="133">
        <v>0.33333333333333331</v>
      </c>
      <c r="H474" s="111">
        <v>27.333333333333332</v>
      </c>
      <c r="I474" s="111">
        <v>0.66666666666666663</v>
      </c>
      <c r="J474" s="111">
        <v>0</v>
      </c>
      <c r="K474" s="111">
        <v>0.33333333333333331</v>
      </c>
      <c r="L474">
        <v>0</v>
      </c>
    </row>
    <row r="475" spans="1:12" x14ac:dyDescent="0.2">
      <c r="A475" s="111" t="s">
        <v>552</v>
      </c>
      <c r="B475" s="132">
        <v>38</v>
      </c>
      <c r="C475" s="111">
        <v>175.26</v>
      </c>
      <c r="D475" s="111">
        <v>70.306759999999997</v>
      </c>
      <c r="E475" s="111">
        <v>70</v>
      </c>
      <c r="F475" s="111">
        <v>12</v>
      </c>
      <c r="G475" s="133">
        <v>0.75</v>
      </c>
      <c r="H475" s="111">
        <v>31.833333333333332</v>
      </c>
      <c r="I475" s="111">
        <v>0.75</v>
      </c>
      <c r="J475" s="111">
        <v>0.41666666666666669</v>
      </c>
      <c r="K475" s="111">
        <v>0.83333333333333337</v>
      </c>
      <c r="L475">
        <v>1</v>
      </c>
    </row>
    <row r="476" spans="1:12" x14ac:dyDescent="0.2">
      <c r="A476" s="111" t="s">
        <v>553</v>
      </c>
      <c r="B476" s="132">
        <v>46</v>
      </c>
      <c r="F476" s="111">
        <v>1</v>
      </c>
      <c r="G476" s="133">
        <v>0</v>
      </c>
      <c r="H476" s="111">
        <v>0</v>
      </c>
      <c r="I476" s="111">
        <v>0</v>
      </c>
      <c r="J476" s="111">
        <v>1</v>
      </c>
      <c r="K476" s="111">
        <v>0</v>
      </c>
      <c r="L476">
        <v>0</v>
      </c>
    </row>
    <row r="477" spans="1:12" x14ac:dyDescent="0.2">
      <c r="A477" s="111" t="s">
        <v>554</v>
      </c>
      <c r="B477" s="132" t="s">
        <v>1596</v>
      </c>
      <c r="F477" s="111">
        <v>1</v>
      </c>
      <c r="G477" s="133">
        <v>1</v>
      </c>
      <c r="H477" s="111">
        <v>2</v>
      </c>
      <c r="I477" s="111">
        <v>1</v>
      </c>
      <c r="J477" s="111">
        <v>3</v>
      </c>
      <c r="K477" s="111">
        <v>4</v>
      </c>
      <c r="L477">
        <v>0</v>
      </c>
    </row>
    <row r="478" spans="1:12" x14ac:dyDescent="0.2">
      <c r="A478" s="111" t="s">
        <v>555</v>
      </c>
      <c r="B478" s="132">
        <v>32</v>
      </c>
      <c r="C478" s="111">
        <v>180.34</v>
      </c>
      <c r="D478" s="111">
        <v>77.110640000000004</v>
      </c>
      <c r="E478" s="111">
        <v>72.837137999999996</v>
      </c>
      <c r="F478" s="111">
        <v>1</v>
      </c>
      <c r="G478" s="133">
        <v>0</v>
      </c>
      <c r="H478" s="111">
        <v>8</v>
      </c>
      <c r="I478" s="111">
        <v>0</v>
      </c>
      <c r="J478" s="111">
        <v>0</v>
      </c>
      <c r="K478" s="111">
        <v>0</v>
      </c>
      <c r="L478">
        <v>0</v>
      </c>
    </row>
    <row r="479" spans="1:12" x14ac:dyDescent="0.2">
      <c r="A479" s="111" t="s">
        <v>556</v>
      </c>
      <c r="B479" s="132">
        <v>37</v>
      </c>
      <c r="C479" s="111">
        <v>190.5</v>
      </c>
      <c r="D479" s="111">
        <v>119.748288</v>
      </c>
      <c r="E479" s="111">
        <v>79</v>
      </c>
      <c r="F479" s="111">
        <v>26</v>
      </c>
      <c r="G479" s="133">
        <v>0.61538461538461542</v>
      </c>
      <c r="H479" s="111">
        <v>13</v>
      </c>
      <c r="I479" s="111">
        <v>0.80769230769230771</v>
      </c>
      <c r="J479" s="111">
        <v>0.80769230769230771</v>
      </c>
      <c r="K479" s="111">
        <v>0.92307692307692313</v>
      </c>
      <c r="L479">
        <v>1</v>
      </c>
    </row>
    <row r="480" spans="1:12" x14ac:dyDescent="0.2">
      <c r="A480" s="111" t="s">
        <v>557</v>
      </c>
      <c r="B480" s="132">
        <v>44</v>
      </c>
      <c r="C480" s="111">
        <v>177.8</v>
      </c>
      <c r="D480" s="111">
        <v>83.914519999999996</v>
      </c>
      <c r="E480" s="111">
        <v>71.832059999999998</v>
      </c>
      <c r="F480" s="111">
        <v>4</v>
      </c>
      <c r="G480" s="133">
        <v>1</v>
      </c>
      <c r="H480" s="111">
        <v>19</v>
      </c>
      <c r="I480" s="111">
        <v>0.25</v>
      </c>
      <c r="J480" s="111">
        <v>2</v>
      </c>
      <c r="K480" s="111">
        <v>0.25</v>
      </c>
      <c r="L480">
        <v>0</v>
      </c>
    </row>
    <row r="481" spans="1:12" x14ac:dyDescent="0.2">
      <c r="A481" s="111" t="s">
        <v>558</v>
      </c>
      <c r="B481" s="132">
        <v>44</v>
      </c>
      <c r="C481" s="111">
        <v>175.26</v>
      </c>
      <c r="D481" s="111">
        <v>77.110640000000004</v>
      </c>
      <c r="E481" s="111">
        <v>71</v>
      </c>
      <c r="F481" s="111">
        <v>7</v>
      </c>
      <c r="G481" s="133">
        <v>0.2857142857142857</v>
      </c>
      <c r="H481" s="111">
        <v>10.571428571428571</v>
      </c>
      <c r="I481" s="111">
        <v>0.2857142857142857</v>
      </c>
      <c r="J481" s="111">
        <v>0.2857142857142857</v>
      </c>
      <c r="K481" s="111">
        <v>0.5714285714285714</v>
      </c>
      <c r="L481">
        <v>1</v>
      </c>
    </row>
    <row r="482" spans="1:12" x14ac:dyDescent="0.2">
      <c r="A482" s="111" t="s">
        <v>559</v>
      </c>
      <c r="B482" s="132">
        <v>35</v>
      </c>
      <c r="C482" s="111">
        <v>167.64</v>
      </c>
      <c r="D482" s="111">
        <v>65.770840000000007</v>
      </c>
      <c r="E482" s="111">
        <v>68</v>
      </c>
      <c r="F482" s="111">
        <v>19</v>
      </c>
      <c r="G482" s="133">
        <v>0.73684210526315785</v>
      </c>
      <c r="H482" s="111">
        <v>62.473684210526315</v>
      </c>
      <c r="I482" s="111">
        <v>3.2105263157894739</v>
      </c>
      <c r="J482" s="111">
        <v>0.42105263157894735</v>
      </c>
      <c r="K482" s="111">
        <v>2.2105263157894739</v>
      </c>
      <c r="L482">
        <v>0</v>
      </c>
    </row>
    <row r="483" spans="1:12" x14ac:dyDescent="0.2">
      <c r="A483" s="111" t="s">
        <v>560</v>
      </c>
      <c r="B483" s="132">
        <v>27</v>
      </c>
      <c r="C483" s="111">
        <v>180.34</v>
      </c>
      <c r="D483" s="111">
        <v>70.306759999999997</v>
      </c>
      <c r="E483" s="111">
        <v>73</v>
      </c>
      <c r="F483" s="111">
        <v>2</v>
      </c>
      <c r="G483" s="133">
        <v>0.5</v>
      </c>
      <c r="H483" s="111">
        <v>14</v>
      </c>
      <c r="I483" s="111">
        <v>0.5</v>
      </c>
      <c r="J483" s="111">
        <v>0.5</v>
      </c>
      <c r="K483" s="111">
        <v>0.5</v>
      </c>
      <c r="L483">
        <v>0</v>
      </c>
    </row>
    <row r="484" spans="1:12" x14ac:dyDescent="0.2">
      <c r="A484" s="111" t="s">
        <v>561</v>
      </c>
      <c r="B484" s="132">
        <v>36</v>
      </c>
      <c r="C484" s="111">
        <v>167.64</v>
      </c>
      <c r="D484" s="111">
        <v>61.234920000000002</v>
      </c>
      <c r="E484" s="111">
        <v>66</v>
      </c>
      <c r="F484" s="111">
        <v>4</v>
      </c>
      <c r="G484" s="133">
        <v>0.75</v>
      </c>
      <c r="H484" s="111">
        <v>64.25</v>
      </c>
      <c r="I484" s="111">
        <v>2.25</v>
      </c>
      <c r="J484" s="111">
        <v>0.25</v>
      </c>
      <c r="K484" s="111">
        <v>0.75</v>
      </c>
      <c r="L484">
        <v>0</v>
      </c>
    </row>
    <row r="485" spans="1:12" x14ac:dyDescent="0.2">
      <c r="A485" s="111" t="s">
        <v>562</v>
      </c>
      <c r="B485" s="132">
        <v>61</v>
      </c>
      <c r="C485" s="111">
        <v>182.88</v>
      </c>
      <c r="D485" s="111">
        <v>81.646559999999994</v>
      </c>
      <c r="E485" s="111">
        <v>73.842215999999993</v>
      </c>
      <c r="F485" s="111">
        <v>1</v>
      </c>
      <c r="G485" s="133">
        <v>0</v>
      </c>
      <c r="H485" s="111">
        <v>4</v>
      </c>
      <c r="I485" s="111">
        <v>0</v>
      </c>
      <c r="J485" s="111">
        <v>0</v>
      </c>
      <c r="K485" s="111">
        <v>0</v>
      </c>
      <c r="L485">
        <v>1</v>
      </c>
    </row>
    <row r="486" spans="1:12" x14ac:dyDescent="0.2">
      <c r="A486" s="111" t="s">
        <v>1558</v>
      </c>
      <c r="B486" s="132">
        <v>37</v>
      </c>
      <c r="F486" s="111">
        <v>2</v>
      </c>
      <c r="G486" s="133">
        <v>1</v>
      </c>
      <c r="H486" s="111">
        <v>11.5</v>
      </c>
      <c r="I486" s="111">
        <v>1.5</v>
      </c>
      <c r="J486" s="111">
        <v>0</v>
      </c>
      <c r="K486" s="111">
        <v>1</v>
      </c>
      <c r="L486">
        <v>0</v>
      </c>
    </row>
    <row r="487" spans="1:12" x14ac:dyDescent="0.2">
      <c r="A487" s="111" t="s">
        <v>563</v>
      </c>
      <c r="B487" s="132">
        <v>37</v>
      </c>
      <c r="C487" s="111">
        <v>167.64</v>
      </c>
      <c r="D487" s="111">
        <v>65.770840000000007</v>
      </c>
      <c r="E487" s="111">
        <v>66</v>
      </c>
      <c r="F487" s="111">
        <v>1</v>
      </c>
      <c r="G487" s="133">
        <v>0</v>
      </c>
      <c r="H487" s="111">
        <v>1</v>
      </c>
      <c r="I487" s="111">
        <v>0</v>
      </c>
      <c r="J487" s="111">
        <v>0</v>
      </c>
      <c r="K487" s="111">
        <v>0</v>
      </c>
      <c r="L487">
        <v>0</v>
      </c>
    </row>
    <row r="488" spans="1:12" x14ac:dyDescent="0.2">
      <c r="A488" s="111" t="s">
        <v>564</v>
      </c>
      <c r="B488" s="132">
        <v>39</v>
      </c>
      <c r="C488" s="111">
        <v>177.8</v>
      </c>
      <c r="D488" s="111">
        <v>70.306759999999997</v>
      </c>
      <c r="E488" s="111">
        <v>71.832059999999998</v>
      </c>
      <c r="F488" s="111">
        <v>3</v>
      </c>
      <c r="G488" s="133">
        <v>0</v>
      </c>
      <c r="H488" s="111">
        <v>8.3333333333333339</v>
      </c>
      <c r="I488" s="111">
        <v>0.66666666666666663</v>
      </c>
      <c r="J488" s="111">
        <v>0</v>
      </c>
      <c r="K488" s="111">
        <v>1</v>
      </c>
      <c r="L488">
        <v>0</v>
      </c>
    </row>
    <row r="489" spans="1:12" x14ac:dyDescent="0.2">
      <c r="A489" s="111" t="s">
        <v>565</v>
      </c>
      <c r="B489" s="132">
        <v>28</v>
      </c>
      <c r="C489" s="111">
        <v>172.72</v>
      </c>
      <c r="D489" s="111">
        <v>65.770840000000007</v>
      </c>
      <c r="E489" s="111">
        <v>71</v>
      </c>
      <c r="F489" s="111">
        <v>3</v>
      </c>
      <c r="G489" s="133">
        <v>0.66666666666666663</v>
      </c>
      <c r="H489" s="111">
        <v>31.333333333333332</v>
      </c>
      <c r="I489" s="111">
        <v>0</v>
      </c>
      <c r="J489" s="111">
        <v>2</v>
      </c>
      <c r="K489" s="111">
        <v>0.33333333333333331</v>
      </c>
      <c r="L489">
        <v>0</v>
      </c>
    </row>
    <row r="490" spans="1:12" x14ac:dyDescent="0.2">
      <c r="A490" s="111" t="s">
        <v>566</v>
      </c>
      <c r="B490" s="132">
        <v>37</v>
      </c>
      <c r="C490" s="111">
        <v>187.96</v>
      </c>
      <c r="D490" s="111">
        <v>109.76926400000001</v>
      </c>
      <c r="E490" s="111">
        <v>76</v>
      </c>
      <c r="F490" s="111">
        <v>21</v>
      </c>
      <c r="G490" s="133">
        <v>0.5714285714285714</v>
      </c>
      <c r="H490" s="111">
        <v>13.714285714285714</v>
      </c>
      <c r="I490" s="111">
        <v>1.0952380952380953</v>
      </c>
      <c r="J490" s="111">
        <v>0.52380952380952384</v>
      </c>
      <c r="K490" s="111">
        <v>1.4761904761904763</v>
      </c>
      <c r="L490">
        <v>0</v>
      </c>
    </row>
    <row r="491" spans="1:12" x14ac:dyDescent="0.2">
      <c r="A491" s="111" t="s">
        <v>567</v>
      </c>
      <c r="B491" s="132">
        <v>40</v>
      </c>
      <c r="C491" s="111">
        <v>208.28</v>
      </c>
      <c r="D491" s="111">
        <v>120.20188</v>
      </c>
      <c r="E491" s="111">
        <v>83.892995999999997</v>
      </c>
      <c r="F491" s="111">
        <v>4</v>
      </c>
      <c r="G491" s="133">
        <v>0.5</v>
      </c>
      <c r="H491" s="111">
        <v>10.75</v>
      </c>
      <c r="I491" s="111">
        <v>0.5</v>
      </c>
      <c r="J491" s="111">
        <v>0</v>
      </c>
      <c r="K491" s="111">
        <v>1</v>
      </c>
      <c r="L491">
        <v>0</v>
      </c>
    </row>
    <row r="492" spans="1:12" x14ac:dyDescent="0.2">
      <c r="A492" s="111" t="s">
        <v>568</v>
      </c>
      <c r="B492" s="132">
        <v>36</v>
      </c>
      <c r="C492" s="111">
        <v>182.88</v>
      </c>
      <c r="D492" s="111">
        <v>70.306759999999997</v>
      </c>
      <c r="E492" s="111">
        <v>72</v>
      </c>
      <c r="F492" s="111">
        <v>3</v>
      </c>
      <c r="G492" s="133">
        <v>0</v>
      </c>
      <c r="H492" s="111">
        <v>42</v>
      </c>
      <c r="I492" s="111">
        <v>0</v>
      </c>
      <c r="J492" s="111">
        <v>0.66666666666666663</v>
      </c>
      <c r="K492" s="111">
        <v>0</v>
      </c>
      <c r="L492">
        <v>0</v>
      </c>
    </row>
    <row r="493" spans="1:12" x14ac:dyDescent="0.2">
      <c r="A493" s="111" t="s">
        <v>569</v>
      </c>
      <c r="B493" s="132">
        <v>34</v>
      </c>
      <c r="C493" s="111">
        <v>185.42</v>
      </c>
      <c r="D493" s="111">
        <v>83.914519999999996</v>
      </c>
      <c r="E493" s="111">
        <v>72</v>
      </c>
      <c r="F493" s="111">
        <v>2</v>
      </c>
      <c r="G493" s="133">
        <v>0.5</v>
      </c>
      <c r="H493" s="111">
        <v>55</v>
      </c>
      <c r="I493" s="111">
        <v>1</v>
      </c>
      <c r="J493" s="111">
        <v>1.5</v>
      </c>
      <c r="K493" s="111">
        <v>1.5</v>
      </c>
      <c r="L493">
        <v>1</v>
      </c>
    </row>
    <row r="494" spans="1:12" x14ac:dyDescent="0.2">
      <c r="A494" s="111" t="s">
        <v>570</v>
      </c>
      <c r="B494" s="132">
        <v>50</v>
      </c>
      <c r="C494" s="111">
        <v>190.5</v>
      </c>
      <c r="D494" s="111">
        <v>112.944408</v>
      </c>
      <c r="E494" s="111">
        <v>76.85745</v>
      </c>
      <c r="F494" s="111">
        <v>8</v>
      </c>
      <c r="G494" s="133">
        <v>0.5</v>
      </c>
      <c r="H494" s="111">
        <v>5.5</v>
      </c>
      <c r="I494" s="111">
        <v>0.5</v>
      </c>
      <c r="J494" s="111">
        <v>0.125</v>
      </c>
      <c r="K494" s="111">
        <v>0.375</v>
      </c>
      <c r="L494">
        <v>0</v>
      </c>
    </row>
    <row r="495" spans="1:12" x14ac:dyDescent="0.2">
      <c r="A495" s="111" t="s">
        <v>571</v>
      </c>
      <c r="B495" s="132">
        <v>34</v>
      </c>
      <c r="C495" s="111">
        <v>180.34</v>
      </c>
      <c r="D495" s="111">
        <v>77.110640000000004</v>
      </c>
      <c r="E495" s="111">
        <v>71</v>
      </c>
      <c r="F495" s="111">
        <v>4</v>
      </c>
      <c r="G495" s="133">
        <v>0.25</v>
      </c>
      <c r="H495" s="111">
        <v>33.5</v>
      </c>
      <c r="I495" s="111">
        <v>0.75</v>
      </c>
      <c r="J495" s="111">
        <v>0</v>
      </c>
      <c r="K495" s="111">
        <v>0.5</v>
      </c>
      <c r="L495">
        <v>0</v>
      </c>
    </row>
    <row r="496" spans="1:12" x14ac:dyDescent="0.2">
      <c r="A496" s="111" t="s">
        <v>572</v>
      </c>
      <c r="B496" s="132">
        <v>26</v>
      </c>
      <c r="C496" s="111">
        <v>165.1</v>
      </c>
      <c r="D496" s="111">
        <v>56.698999999999998</v>
      </c>
      <c r="E496" s="111">
        <v>66</v>
      </c>
      <c r="F496" s="111">
        <v>2</v>
      </c>
      <c r="G496" s="133">
        <v>0.5</v>
      </c>
      <c r="H496" s="111">
        <v>23.5</v>
      </c>
      <c r="I496" s="111">
        <v>0.5</v>
      </c>
      <c r="J496" s="111">
        <v>0</v>
      </c>
      <c r="K496" s="111">
        <v>0.5</v>
      </c>
      <c r="L496">
        <v>0</v>
      </c>
    </row>
    <row r="497" spans="1:12" x14ac:dyDescent="0.2">
      <c r="A497" s="111" t="s">
        <v>573</v>
      </c>
      <c r="B497" s="132">
        <v>31</v>
      </c>
      <c r="C497" s="111">
        <v>187.96</v>
      </c>
      <c r="D497" s="111">
        <v>83.914519999999996</v>
      </c>
      <c r="E497" s="111">
        <v>76</v>
      </c>
      <c r="F497" s="111">
        <v>7</v>
      </c>
      <c r="G497" s="133">
        <v>0.5714285714285714</v>
      </c>
      <c r="H497" s="111">
        <v>33.857142857142854</v>
      </c>
      <c r="I497" s="111">
        <v>0.7142857142857143</v>
      </c>
      <c r="J497" s="111">
        <v>0.42857142857142855</v>
      </c>
      <c r="K497" s="111">
        <v>2.2857142857142856</v>
      </c>
      <c r="L497">
        <v>0</v>
      </c>
    </row>
    <row r="498" spans="1:12" x14ac:dyDescent="0.2">
      <c r="A498" s="111" t="s">
        <v>574</v>
      </c>
      <c r="B498" s="132">
        <v>38</v>
      </c>
      <c r="C498" s="111">
        <v>175.26</v>
      </c>
      <c r="D498" s="111">
        <v>70.306759999999997</v>
      </c>
      <c r="E498" s="111">
        <v>70.826982000000001</v>
      </c>
      <c r="F498" s="111">
        <v>3</v>
      </c>
      <c r="G498" s="133">
        <v>0.66666666666666663</v>
      </c>
      <c r="H498" s="111">
        <v>13</v>
      </c>
      <c r="I498" s="111">
        <v>2</v>
      </c>
      <c r="J498" s="111">
        <v>2.3333333333333335</v>
      </c>
      <c r="K498" s="111">
        <v>2.3333333333333335</v>
      </c>
      <c r="L498">
        <v>0</v>
      </c>
    </row>
    <row r="499" spans="1:12" x14ac:dyDescent="0.2">
      <c r="A499" s="111" t="s">
        <v>575</v>
      </c>
      <c r="B499" s="132">
        <v>35</v>
      </c>
      <c r="C499" s="111">
        <v>185.42</v>
      </c>
      <c r="D499" s="111">
        <v>61.234920000000002</v>
      </c>
      <c r="E499" s="111">
        <v>72</v>
      </c>
      <c r="F499" s="111">
        <v>13</v>
      </c>
      <c r="G499" s="133">
        <v>0.38461538461538464</v>
      </c>
      <c r="H499" s="111">
        <v>36.230769230769234</v>
      </c>
      <c r="I499" s="111">
        <v>0.61538461538461542</v>
      </c>
      <c r="J499" s="111">
        <v>7.6923076923076927E-2</v>
      </c>
      <c r="K499" s="111">
        <v>0.23076923076923078</v>
      </c>
      <c r="L499">
        <v>0</v>
      </c>
    </row>
    <row r="500" spans="1:12" x14ac:dyDescent="0.2">
      <c r="A500" s="111" t="s">
        <v>576</v>
      </c>
      <c r="B500" s="132">
        <v>39</v>
      </c>
      <c r="C500" s="111">
        <v>177.8</v>
      </c>
      <c r="D500" s="111">
        <v>70.306759999999997</v>
      </c>
      <c r="E500" s="111">
        <v>71</v>
      </c>
      <c r="F500" s="111">
        <v>11</v>
      </c>
      <c r="G500" s="133">
        <v>0.63636363636363635</v>
      </c>
      <c r="H500" s="111">
        <v>25.545454545454547</v>
      </c>
      <c r="I500" s="111">
        <v>1.5454545454545454</v>
      </c>
      <c r="J500" s="111">
        <v>1.0909090909090908</v>
      </c>
      <c r="K500" s="111">
        <v>3.0909090909090908</v>
      </c>
      <c r="L500">
        <v>0</v>
      </c>
    </row>
    <row r="501" spans="1:12" x14ac:dyDescent="0.2">
      <c r="A501" s="111" t="s">
        <v>577</v>
      </c>
      <c r="B501" s="132">
        <v>35</v>
      </c>
      <c r="C501" s="111">
        <v>182.88</v>
      </c>
      <c r="D501" s="111">
        <v>77.110640000000004</v>
      </c>
      <c r="E501" s="111">
        <v>73</v>
      </c>
      <c r="F501" s="111">
        <v>5</v>
      </c>
      <c r="G501" s="133">
        <v>0.6</v>
      </c>
      <c r="H501" s="111">
        <v>42.2</v>
      </c>
      <c r="I501" s="111">
        <v>1</v>
      </c>
      <c r="J501" s="111">
        <v>0.6</v>
      </c>
      <c r="K501" s="111">
        <v>1.4</v>
      </c>
      <c r="L501">
        <v>0</v>
      </c>
    </row>
    <row r="502" spans="1:12" x14ac:dyDescent="0.2">
      <c r="A502" s="111" t="s">
        <v>578</v>
      </c>
      <c r="B502" s="132">
        <v>35</v>
      </c>
      <c r="C502" s="111">
        <v>180.34</v>
      </c>
      <c r="D502" s="111">
        <v>77.110640000000004</v>
      </c>
      <c r="E502" s="111">
        <v>76</v>
      </c>
      <c r="F502" s="111">
        <v>21</v>
      </c>
      <c r="G502" s="133">
        <v>0.90476190476190477</v>
      </c>
      <c r="H502" s="111">
        <v>59.714285714285715</v>
      </c>
      <c r="I502" s="111">
        <v>4.1428571428571432</v>
      </c>
      <c r="J502" s="111">
        <v>1.0952380952380953</v>
      </c>
      <c r="K502" s="111">
        <v>5.5714285714285712</v>
      </c>
      <c r="L502">
        <v>0</v>
      </c>
    </row>
    <row r="503" spans="1:12" x14ac:dyDescent="0.2">
      <c r="A503" s="111" t="s">
        <v>579</v>
      </c>
      <c r="B503" s="132">
        <v>37</v>
      </c>
      <c r="C503" s="111">
        <v>180.34</v>
      </c>
      <c r="D503" s="111">
        <v>83.914519999999996</v>
      </c>
      <c r="E503" s="111">
        <v>77</v>
      </c>
      <c r="F503" s="111">
        <v>4</v>
      </c>
      <c r="G503" s="133">
        <v>0.75</v>
      </c>
      <c r="H503" s="111">
        <v>14</v>
      </c>
      <c r="I503" s="111">
        <v>2</v>
      </c>
      <c r="J503" s="111">
        <v>0</v>
      </c>
      <c r="K503" s="111">
        <v>0.25</v>
      </c>
      <c r="L503">
        <v>1</v>
      </c>
    </row>
    <row r="504" spans="1:12" x14ac:dyDescent="0.2">
      <c r="A504" s="111" t="s">
        <v>580</v>
      </c>
      <c r="B504" s="132">
        <v>37</v>
      </c>
      <c r="C504" s="111">
        <v>175.26</v>
      </c>
      <c r="D504" s="111">
        <v>70.306759999999997</v>
      </c>
      <c r="E504" s="111">
        <v>70.826982000000001</v>
      </c>
      <c r="F504" s="111">
        <v>1</v>
      </c>
      <c r="G504" s="133">
        <v>0</v>
      </c>
      <c r="H504" s="111">
        <v>0</v>
      </c>
      <c r="I504" s="111">
        <v>0</v>
      </c>
      <c r="J504" s="111">
        <v>3</v>
      </c>
      <c r="K504" s="111">
        <v>0</v>
      </c>
      <c r="L504">
        <v>0</v>
      </c>
    </row>
    <row r="505" spans="1:12" x14ac:dyDescent="0.2">
      <c r="A505" s="111" t="s">
        <v>581</v>
      </c>
      <c r="B505" s="132">
        <v>61</v>
      </c>
      <c r="C505" s="111">
        <v>195.58</v>
      </c>
      <c r="D505" s="111">
        <v>97.975871999999995</v>
      </c>
      <c r="E505" s="111">
        <v>78.867605999999995</v>
      </c>
      <c r="F505" s="111">
        <v>3</v>
      </c>
      <c r="G505" s="133">
        <v>0.66666666666666663</v>
      </c>
      <c r="H505" s="111">
        <v>4.666666666666667</v>
      </c>
      <c r="I505" s="111">
        <v>0</v>
      </c>
      <c r="J505" s="111">
        <v>0</v>
      </c>
      <c r="K505" s="111">
        <v>0</v>
      </c>
      <c r="L505">
        <v>0</v>
      </c>
    </row>
    <row r="506" spans="1:12" x14ac:dyDescent="0.2">
      <c r="A506" s="111" t="s">
        <v>582</v>
      </c>
      <c r="B506" s="132">
        <v>32</v>
      </c>
      <c r="C506" s="111">
        <v>175.26</v>
      </c>
      <c r="D506" s="111">
        <v>61.234920000000002</v>
      </c>
      <c r="E506" s="111">
        <v>71</v>
      </c>
      <c r="F506" s="111">
        <v>3</v>
      </c>
      <c r="G506" s="133">
        <v>0.66666666666666663</v>
      </c>
      <c r="H506" s="111">
        <v>26.666666666666668</v>
      </c>
      <c r="I506" s="111">
        <v>0</v>
      </c>
      <c r="J506" s="111">
        <v>0</v>
      </c>
      <c r="K506" s="111">
        <v>0</v>
      </c>
      <c r="L506">
        <v>0</v>
      </c>
    </row>
    <row r="507" spans="1:12" x14ac:dyDescent="0.2">
      <c r="A507" s="111" t="s">
        <v>583</v>
      </c>
      <c r="B507" s="132" t="s">
        <v>1596</v>
      </c>
      <c r="C507" s="111">
        <v>203.2</v>
      </c>
      <c r="D507" s="111">
        <v>122.46984</v>
      </c>
      <c r="E507" s="111">
        <v>81.882840000000002</v>
      </c>
      <c r="F507" s="111">
        <v>1</v>
      </c>
      <c r="G507" s="133">
        <v>0</v>
      </c>
      <c r="H507" s="111">
        <v>0</v>
      </c>
      <c r="I507" s="111">
        <v>0</v>
      </c>
      <c r="J507" s="111">
        <v>0</v>
      </c>
      <c r="K507" s="111">
        <v>0</v>
      </c>
      <c r="L507">
        <v>0</v>
      </c>
    </row>
    <row r="508" spans="1:12" x14ac:dyDescent="0.2">
      <c r="A508" s="111" t="s">
        <v>584</v>
      </c>
      <c r="B508" s="132" t="s">
        <v>1596</v>
      </c>
      <c r="C508" s="111">
        <v>185.42</v>
      </c>
      <c r="D508" s="111">
        <v>90.718400000000003</v>
      </c>
      <c r="E508" s="111">
        <v>74.847294000000005</v>
      </c>
      <c r="F508" s="111">
        <v>1</v>
      </c>
      <c r="G508" s="133">
        <v>1</v>
      </c>
      <c r="H508" s="111">
        <v>21</v>
      </c>
      <c r="I508" s="111">
        <v>0</v>
      </c>
      <c r="J508" s="111">
        <v>1</v>
      </c>
      <c r="K508" s="111">
        <v>1</v>
      </c>
      <c r="L508">
        <v>0</v>
      </c>
    </row>
    <row r="509" spans="1:12" x14ac:dyDescent="0.2">
      <c r="A509" s="111" t="s">
        <v>585</v>
      </c>
      <c r="B509" s="132">
        <v>31</v>
      </c>
      <c r="C509" s="111">
        <v>190.5</v>
      </c>
      <c r="D509" s="111">
        <v>92.986360000000005</v>
      </c>
      <c r="E509" s="111">
        <v>76</v>
      </c>
      <c r="F509" s="111">
        <v>7</v>
      </c>
      <c r="G509" s="133">
        <v>0.5714285714285714</v>
      </c>
      <c r="H509" s="111">
        <v>45.285714285714285</v>
      </c>
      <c r="I509" s="111">
        <v>0.7142857142857143</v>
      </c>
      <c r="J509" s="111">
        <v>0</v>
      </c>
      <c r="K509" s="111">
        <v>0.5714285714285714</v>
      </c>
      <c r="L509">
        <v>0</v>
      </c>
    </row>
    <row r="510" spans="1:12" x14ac:dyDescent="0.2">
      <c r="A510" s="111" t="s">
        <v>586</v>
      </c>
      <c r="B510" s="132">
        <v>43</v>
      </c>
      <c r="C510" s="111">
        <v>177.8</v>
      </c>
      <c r="D510" s="111">
        <v>83.914519999999996</v>
      </c>
      <c r="E510" s="111">
        <v>71.832059999999998</v>
      </c>
      <c r="F510" s="111">
        <v>3</v>
      </c>
      <c r="G510" s="133">
        <v>0</v>
      </c>
      <c r="H510" s="111">
        <v>7</v>
      </c>
      <c r="I510" s="111">
        <v>0.33333333333333331</v>
      </c>
      <c r="J510" s="111">
        <v>0</v>
      </c>
      <c r="K510" s="111">
        <v>0</v>
      </c>
      <c r="L510">
        <v>1</v>
      </c>
    </row>
    <row r="511" spans="1:12" x14ac:dyDescent="0.2">
      <c r="A511" s="111" t="s">
        <v>587</v>
      </c>
      <c r="B511" s="132">
        <v>51</v>
      </c>
      <c r="C511" s="111">
        <v>175.26</v>
      </c>
      <c r="D511" s="111">
        <v>77.110640000000004</v>
      </c>
      <c r="E511" s="111">
        <v>70.826982000000001</v>
      </c>
      <c r="F511" s="111">
        <v>3</v>
      </c>
      <c r="G511" s="133">
        <v>0.33333333333333331</v>
      </c>
      <c r="H511" s="111">
        <v>9</v>
      </c>
      <c r="I511" s="111">
        <v>3.3333333333333335</v>
      </c>
      <c r="J511" s="111">
        <v>0</v>
      </c>
      <c r="K511" s="111">
        <v>0.66666666666666663</v>
      </c>
      <c r="L511">
        <v>1</v>
      </c>
    </row>
    <row r="512" spans="1:12" x14ac:dyDescent="0.2">
      <c r="A512" s="111" t="s">
        <v>588</v>
      </c>
      <c r="B512" s="132" t="s">
        <v>1596</v>
      </c>
      <c r="C512" s="111">
        <v>185.42</v>
      </c>
      <c r="D512" s="111">
        <v>113.398</v>
      </c>
      <c r="E512" s="111">
        <v>74.847294000000005</v>
      </c>
      <c r="F512" s="111">
        <v>2</v>
      </c>
      <c r="G512" s="133">
        <v>0</v>
      </c>
      <c r="H512" s="111">
        <v>17</v>
      </c>
      <c r="I512" s="111">
        <v>1</v>
      </c>
      <c r="J512" s="111">
        <v>0</v>
      </c>
      <c r="K512" s="111">
        <v>1</v>
      </c>
      <c r="L512">
        <v>0</v>
      </c>
    </row>
    <row r="513" spans="1:12" x14ac:dyDescent="0.2">
      <c r="A513" s="111" t="s">
        <v>589</v>
      </c>
      <c r="B513" s="132">
        <v>30</v>
      </c>
      <c r="C513" s="111">
        <v>177.8</v>
      </c>
      <c r="D513" s="111">
        <v>70.306759999999997</v>
      </c>
      <c r="E513" s="111">
        <v>71</v>
      </c>
      <c r="F513" s="111">
        <v>4</v>
      </c>
      <c r="G513" s="133">
        <v>0.75</v>
      </c>
      <c r="H513" s="111">
        <v>24</v>
      </c>
      <c r="I513" s="111">
        <v>1.75</v>
      </c>
      <c r="J513" s="111">
        <v>1</v>
      </c>
      <c r="K513" s="111">
        <v>2</v>
      </c>
      <c r="L513">
        <v>0</v>
      </c>
    </row>
    <row r="514" spans="1:12" x14ac:dyDescent="0.2">
      <c r="A514" s="111" t="s">
        <v>590</v>
      </c>
      <c r="B514" s="132">
        <v>34</v>
      </c>
      <c r="C514" s="111">
        <v>175.26</v>
      </c>
      <c r="D514" s="111">
        <v>70.306759999999997</v>
      </c>
      <c r="E514" s="111">
        <v>73</v>
      </c>
      <c r="F514" s="111">
        <v>4</v>
      </c>
      <c r="G514" s="133">
        <v>0.25</v>
      </c>
      <c r="H514" s="111">
        <v>50.75</v>
      </c>
      <c r="I514" s="111">
        <v>0.75</v>
      </c>
      <c r="J514" s="111">
        <v>0</v>
      </c>
      <c r="K514" s="111">
        <v>0</v>
      </c>
      <c r="L514">
        <v>0</v>
      </c>
    </row>
    <row r="515" spans="1:12" x14ac:dyDescent="0.2">
      <c r="A515" s="111" t="s">
        <v>591</v>
      </c>
      <c r="B515" s="132" t="s">
        <v>1596</v>
      </c>
      <c r="C515" s="111">
        <v>175.26</v>
      </c>
      <c r="D515" s="111">
        <v>83.914519999999996</v>
      </c>
      <c r="E515" s="111">
        <v>75</v>
      </c>
      <c r="F515" s="111">
        <v>1</v>
      </c>
      <c r="G515" s="133">
        <v>0</v>
      </c>
      <c r="H515" s="111">
        <v>14</v>
      </c>
      <c r="I515" s="111">
        <v>3</v>
      </c>
      <c r="J515" s="111">
        <v>1</v>
      </c>
      <c r="K515" s="111">
        <v>0</v>
      </c>
      <c r="L515">
        <v>1</v>
      </c>
    </row>
    <row r="516" spans="1:12" x14ac:dyDescent="0.2">
      <c r="A516" s="111" t="s">
        <v>592</v>
      </c>
      <c r="B516" s="132">
        <v>40</v>
      </c>
      <c r="C516" s="111">
        <v>187.96</v>
      </c>
      <c r="D516" s="111">
        <v>102.0582</v>
      </c>
      <c r="E516" s="111">
        <v>77</v>
      </c>
      <c r="F516" s="111">
        <v>3</v>
      </c>
      <c r="G516" s="133">
        <v>0</v>
      </c>
      <c r="H516" s="111">
        <v>12</v>
      </c>
      <c r="I516" s="111">
        <v>0</v>
      </c>
      <c r="J516" s="111">
        <v>0.66666666666666663</v>
      </c>
      <c r="K516" s="111">
        <v>0.33333333333333331</v>
      </c>
      <c r="L516">
        <v>0</v>
      </c>
    </row>
    <row r="517" spans="1:12" x14ac:dyDescent="0.2">
      <c r="A517" s="111" t="s">
        <v>593</v>
      </c>
      <c r="B517" s="132">
        <v>25</v>
      </c>
      <c r="C517" s="111">
        <v>182.88</v>
      </c>
      <c r="D517" s="111">
        <v>70.306759999999997</v>
      </c>
      <c r="E517" s="111">
        <v>77</v>
      </c>
      <c r="F517" s="111">
        <v>1</v>
      </c>
      <c r="G517" s="133">
        <v>1</v>
      </c>
      <c r="H517" s="111">
        <v>23</v>
      </c>
      <c r="I517" s="111">
        <v>4</v>
      </c>
      <c r="J517" s="111">
        <v>1</v>
      </c>
      <c r="K517" s="111">
        <v>3</v>
      </c>
      <c r="L517">
        <v>0</v>
      </c>
    </row>
    <row r="518" spans="1:12" x14ac:dyDescent="0.2">
      <c r="A518" s="111" t="s">
        <v>594</v>
      </c>
      <c r="B518" s="132">
        <v>33</v>
      </c>
      <c r="C518" s="111">
        <v>177.8</v>
      </c>
      <c r="D518" s="111">
        <v>70.306759999999997</v>
      </c>
      <c r="E518" s="111">
        <v>71</v>
      </c>
      <c r="F518" s="111">
        <v>26</v>
      </c>
      <c r="G518" s="133">
        <v>0.65384615384615385</v>
      </c>
      <c r="H518" s="111">
        <v>21.846153846153847</v>
      </c>
      <c r="I518" s="111">
        <v>3.1538461538461537</v>
      </c>
      <c r="J518" s="111">
        <v>0.61538461538461542</v>
      </c>
      <c r="K518" s="111">
        <v>2.3461538461538463</v>
      </c>
      <c r="L518">
        <v>1</v>
      </c>
    </row>
    <row r="519" spans="1:12" x14ac:dyDescent="0.2">
      <c r="A519" s="111" t="s">
        <v>595</v>
      </c>
      <c r="B519" s="132">
        <v>37</v>
      </c>
      <c r="C519" s="111">
        <v>187.96</v>
      </c>
      <c r="D519" s="111">
        <v>92.986360000000005</v>
      </c>
      <c r="E519" s="111">
        <v>76</v>
      </c>
      <c r="F519" s="111">
        <v>9</v>
      </c>
      <c r="G519" s="133">
        <v>0.77777777777777779</v>
      </c>
      <c r="H519" s="111">
        <v>41.666666666666664</v>
      </c>
      <c r="I519" s="111">
        <v>1.6666666666666667</v>
      </c>
      <c r="J519" s="111">
        <v>0.44444444444444442</v>
      </c>
      <c r="K519" s="111">
        <v>2.6666666666666665</v>
      </c>
      <c r="L519">
        <v>0</v>
      </c>
    </row>
    <row r="520" spans="1:12" x14ac:dyDescent="0.2">
      <c r="A520" s="111" t="s">
        <v>596</v>
      </c>
      <c r="B520" s="132">
        <v>29</v>
      </c>
      <c r="C520" s="111">
        <v>170.18</v>
      </c>
      <c r="D520" s="111">
        <v>65.770840000000007</v>
      </c>
      <c r="E520" s="111">
        <v>73</v>
      </c>
      <c r="F520" s="111">
        <v>7</v>
      </c>
      <c r="G520" s="133">
        <v>0.5714285714285714</v>
      </c>
      <c r="H520" s="111">
        <v>12.714285714285714</v>
      </c>
      <c r="I520" s="111">
        <v>0.14285714285714285</v>
      </c>
      <c r="J520" s="111">
        <v>0.5714285714285714</v>
      </c>
      <c r="K520" s="111">
        <v>0.5714285714285714</v>
      </c>
      <c r="L520">
        <v>0</v>
      </c>
    </row>
    <row r="521" spans="1:12" x14ac:dyDescent="0.2">
      <c r="A521" s="111" t="s">
        <v>597</v>
      </c>
      <c r="B521" s="132">
        <v>32</v>
      </c>
      <c r="C521" s="111">
        <v>190.5</v>
      </c>
      <c r="D521" s="111">
        <v>92.986360000000005</v>
      </c>
      <c r="E521" s="111">
        <v>81</v>
      </c>
      <c r="F521" s="111">
        <v>4</v>
      </c>
      <c r="G521" s="133">
        <v>0.25</v>
      </c>
      <c r="H521" s="111">
        <v>22.5</v>
      </c>
      <c r="I521" s="111">
        <v>1.5</v>
      </c>
      <c r="J521" s="111">
        <v>1</v>
      </c>
      <c r="K521" s="111">
        <v>1</v>
      </c>
      <c r="L521">
        <v>1</v>
      </c>
    </row>
    <row r="522" spans="1:12" x14ac:dyDescent="0.2">
      <c r="A522" s="111" t="s">
        <v>598</v>
      </c>
      <c r="B522" s="132">
        <v>37</v>
      </c>
      <c r="C522" s="111">
        <v>175.26</v>
      </c>
      <c r="D522" s="111">
        <v>70.306759999999997</v>
      </c>
      <c r="E522" s="111">
        <v>70</v>
      </c>
      <c r="F522" s="111">
        <v>16</v>
      </c>
      <c r="G522" s="133">
        <v>0.5625</v>
      </c>
      <c r="H522" s="111">
        <v>26.375</v>
      </c>
      <c r="I522" s="111">
        <v>2.25</v>
      </c>
      <c r="J522" s="111">
        <v>0.5625</v>
      </c>
      <c r="K522" s="111">
        <v>1.875</v>
      </c>
      <c r="L522">
        <v>0</v>
      </c>
    </row>
    <row r="523" spans="1:12" x14ac:dyDescent="0.2">
      <c r="A523" s="111" t="s">
        <v>599</v>
      </c>
      <c r="B523" s="132">
        <v>30</v>
      </c>
      <c r="C523" s="111">
        <v>180.34</v>
      </c>
      <c r="D523" s="111">
        <v>77.110640000000004</v>
      </c>
      <c r="E523" s="111">
        <v>73</v>
      </c>
      <c r="F523" s="111">
        <v>3</v>
      </c>
      <c r="G523" s="133">
        <v>0.33333333333333331</v>
      </c>
      <c r="H523" s="111">
        <v>32.333333333333336</v>
      </c>
      <c r="I523" s="111">
        <v>1</v>
      </c>
      <c r="J523" s="111">
        <v>0.66666666666666663</v>
      </c>
      <c r="K523" s="111">
        <v>3</v>
      </c>
      <c r="L523">
        <v>0</v>
      </c>
    </row>
    <row r="524" spans="1:12" x14ac:dyDescent="0.2">
      <c r="A524" s="111" t="s">
        <v>600</v>
      </c>
      <c r="B524" s="132" t="s">
        <v>1596</v>
      </c>
      <c r="C524" s="111">
        <v>170.18</v>
      </c>
      <c r="D524" s="111">
        <v>99.790239999999997</v>
      </c>
      <c r="E524" s="111">
        <v>68.816826000000006</v>
      </c>
      <c r="F524" s="111">
        <v>1</v>
      </c>
      <c r="G524" s="133">
        <v>0</v>
      </c>
      <c r="H524" s="111">
        <v>0</v>
      </c>
      <c r="I524" s="111">
        <v>0</v>
      </c>
      <c r="J524" s="111">
        <v>0</v>
      </c>
      <c r="K524" s="111">
        <v>0</v>
      </c>
      <c r="L524">
        <v>1</v>
      </c>
    </row>
    <row r="525" spans="1:12" x14ac:dyDescent="0.2">
      <c r="A525" s="111" t="s">
        <v>601</v>
      </c>
      <c r="B525" s="132">
        <v>35</v>
      </c>
      <c r="C525" s="111">
        <v>162.56</v>
      </c>
      <c r="D525" s="111">
        <v>61.234920000000002</v>
      </c>
      <c r="E525" s="111">
        <v>64</v>
      </c>
      <c r="F525" s="111">
        <v>3</v>
      </c>
      <c r="G525" s="133">
        <v>0.66666666666666663</v>
      </c>
      <c r="H525" s="111">
        <v>33.333333333333336</v>
      </c>
      <c r="I525" s="111">
        <v>1.3333333333333333</v>
      </c>
      <c r="J525" s="111">
        <v>0.33333333333333331</v>
      </c>
      <c r="K525" s="111">
        <v>1</v>
      </c>
      <c r="L525">
        <v>1</v>
      </c>
    </row>
    <row r="526" spans="1:12" x14ac:dyDescent="0.2">
      <c r="A526" s="111" t="s">
        <v>602</v>
      </c>
      <c r="B526" s="132" t="s">
        <v>1596</v>
      </c>
      <c r="C526" s="111">
        <v>167.64</v>
      </c>
      <c r="D526" s="111">
        <v>61.234920000000002</v>
      </c>
      <c r="E526" s="111">
        <v>68</v>
      </c>
      <c r="F526" s="111">
        <v>2</v>
      </c>
      <c r="G526" s="133">
        <v>0.5</v>
      </c>
      <c r="H526" s="111">
        <v>33.5</v>
      </c>
      <c r="I526" s="111">
        <v>2.5</v>
      </c>
      <c r="J526" s="111">
        <v>0</v>
      </c>
      <c r="K526" s="111">
        <v>1.5</v>
      </c>
      <c r="L526">
        <v>1</v>
      </c>
    </row>
    <row r="527" spans="1:12" x14ac:dyDescent="0.2">
      <c r="A527" s="111" t="s">
        <v>603</v>
      </c>
      <c r="B527" s="132">
        <v>30</v>
      </c>
      <c r="C527" s="111">
        <v>182.88</v>
      </c>
      <c r="D527" s="111">
        <v>83.914519999999996</v>
      </c>
      <c r="E527" s="111">
        <v>74</v>
      </c>
      <c r="F527" s="111">
        <v>1</v>
      </c>
      <c r="G527" s="133">
        <v>0</v>
      </c>
      <c r="H527" s="111">
        <v>49</v>
      </c>
      <c r="I527" s="111">
        <v>0</v>
      </c>
      <c r="J527" s="111">
        <v>0</v>
      </c>
      <c r="K527" s="111">
        <v>0</v>
      </c>
      <c r="L527">
        <v>0</v>
      </c>
    </row>
    <row r="528" spans="1:12" x14ac:dyDescent="0.2">
      <c r="A528" s="111" t="s">
        <v>604</v>
      </c>
      <c r="B528" s="132">
        <v>28</v>
      </c>
      <c r="C528" s="111">
        <v>180.34</v>
      </c>
      <c r="D528" s="111">
        <v>77.110640000000004</v>
      </c>
      <c r="E528" s="111">
        <v>72</v>
      </c>
      <c r="F528" s="111">
        <v>7</v>
      </c>
      <c r="G528" s="133">
        <v>0.7142857142857143</v>
      </c>
      <c r="H528" s="111">
        <v>20.142857142857142</v>
      </c>
      <c r="I528" s="111">
        <v>1</v>
      </c>
      <c r="J528" s="111">
        <v>0.7142857142857143</v>
      </c>
      <c r="K528" s="111">
        <v>2.2857142857142856</v>
      </c>
      <c r="L528">
        <v>0</v>
      </c>
    </row>
    <row r="529" spans="1:12" x14ac:dyDescent="0.2">
      <c r="A529" s="111" t="s">
        <v>605</v>
      </c>
      <c r="B529" s="132">
        <v>48</v>
      </c>
      <c r="C529" s="111">
        <v>185.42</v>
      </c>
      <c r="D529" s="111">
        <v>90.718400000000003</v>
      </c>
      <c r="E529" s="111">
        <v>74.847294000000005</v>
      </c>
      <c r="F529" s="111">
        <v>4</v>
      </c>
      <c r="G529" s="133">
        <v>0.75</v>
      </c>
      <c r="H529" s="111">
        <v>14</v>
      </c>
      <c r="I529" s="111">
        <v>0.25</v>
      </c>
      <c r="J529" s="111">
        <v>1</v>
      </c>
      <c r="K529" s="111">
        <v>1.25</v>
      </c>
      <c r="L529">
        <v>0</v>
      </c>
    </row>
    <row r="530" spans="1:12" x14ac:dyDescent="0.2">
      <c r="A530" s="111" t="s">
        <v>606</v>
      </c>
      <c r="B530" s="132">
        <v>32</v>
      </c>
      <c r="C530" s="111">
        <v>172.72</v>
      </c>
      <c r="D530" s="111">
        <v>65.770840000000007</v>
      </c>
      <c r="E530" s="111">
        <v>69</v>
      </c>
      <c r="F530" s="111">
        <v>5</v>
      </c>
      <c r="G530" s="133">
        <v>0.6</v>
      </c>
      <c r="H530" s="111">
        <v>27.4</v>
      </c>
      <c r="I530" s="111">
        <v>3.2</v>
      </c>
      <c r="J530" s="111">
        <v>0.4</v>
      </c>
      <c r="K530" s="111">
        <v>2.6</v>
      </c>
      <c r="L530">
        <v>0</v>
      </c>
    </row>
    <row r="531" spans="1:12" x14ac:dyDescent="0.2">
      <c r="A531" s="111" t="s">
        <v>607</v>
      </c>
      <c r="B531" s="132">
        <v>29</v>
      </c>
      <c r="C531" s="111">
        <v>190.5</v>
      </c>
      <c r="D531" s="111">
        <v>92.986360000000005</v>
      </c>
      <c r="E531" s="111">
        <v>73</v>
      </c>
      <c r="F531" s="111">
        <v>3</v>
      </c>
      <c r="G531" s="133">
        <v>0.33333333333333331</v>
      </c>
      <c r="H531" s="111">
        <v>26.333333333333332</v>
      </c>
      <c r="I531" s="111">
        <v>1.3333333333333333</v>
      </c>
      <c r="J531" s="111">
        <v>0</v>
      </c>
      <c r="K531" s="111">
        <v>0.66666666666666663</v>
      </c>
      <c r="L531">
        <v>0</v>
      </c>
    </row>
    <row r="532" spans="1:12" x14ac:dyDescent="0.2">
      <c r="A532" s="111" t="s">
        <v>608</v>
      </c>
      <c r="B532" s="132" t="s">
        <v>1596</v>
      </c>
      <c r="C532" s="111">
        <v>187.96</v>
      </c>
      <c r="D532" s="111">
        <v>108.86208000000001</v>
      </c>
      <c r="E532" s="111">
        <v>75.852372000000003</v>
      </c>
      <c r="F532" s="111">
        <v>3</v>
      </c>
      <c r="G532" s="133">
        <v>0.33333333333333331</v>
      </c>
      <c r="H532" s="111">
        <v>5</v>
      </c>
      <c r="I532" s="111">
        <v>0.33333333333333331</v>
      </c>
      <c r="J532" s="111">
        <v>0.33333333333333331</v>
      </c>
      <c r="K532" s="111">
        <v>0</v>
      </c>
      <c r="L532">
        <v>0</v>
      </c>
    </row>
    <row r="533" spans="1:12" x14ac:dyDescent="0.2">
      <c r="A533" s="111" t="s">
        <v>609</v>
      </c>
      <c r="B533" s="132">
        <v>48</v>
      </c>
      <c r="C533" s="111">
        <v>195.58</v>
      </c>
      <c r="D533" s="111">
        <v>124.73779999999999</v>
      </c>
      <c r="E533" s="111">
        <v>78.867605999999995</v>
      </c>
      <c r="F533" s="111">
        <v>1</v>
      </c>
      <c r="G533" s="133">
        <v>0</v>
      </c>
      <c r="H533" s="111">
        <v>12</v>
      </c>
      <c r="I533" s="111">
        <v>1</v>
      </c>
      <c r="J533" s="111">
        <v>4</v>
      </c>
      <c r="K533" s="111">
        <v>0</v>
      </c>
      <c r="L533">
        <v>0</v>
      </c>
    </row>
    <row r="534" spans="1:12" x14ac:dyDescent="0.2">
      <c r="A534" s="111" t="s">
        <v>610</v>
      </c>
      <c r="B534" s="132">
        <v>33</v>
      </c>
      <c r="C534" s="111">
        <v>180.34</v>
      </c>
      <c r="D534" s="111">
        <v>65.770840000000007</v>
      </c>
      <c r="E534" s="111">
        <v>70</v>
      </c>
      <c r="F534" s="111">
        <v>8</v>
      </c>
      <c r="G534" s="133">
        <v>0.375</v>
      </c>
      <c r="H534" s="111">
        <v>31.5</v>
      </c>
      <c r="I534" s="111">
        <v>2.25</v>
      </c>
      <c r="J534" s="111">
        <v>0.625</v>
      </c>
      <c r="K534" s="111">
        <v>3.5</v>
      </c>
      <c r="L534">
        <v>0</v>
      </c>
    </row>
    <row r="535" spans="1:12" x14ac:dyDescent="0.2">
      <c r="A535" s="111" t="s">
        <v>611</v>
      </c>
      <c r="B535" s="132">
        <v>41</v>
      </c>
      <c r="C535" s="111">
        <v>170.18</v>
      </c>
      <c r="D535" s="111">
        <v>76.203456000000003</v>
      </c>
      <c r="E535" s="111">
        <v>68.816826000000006</v>
      </c>
      <c r="F535" s="111">
        <v>1</v>
      </c>
      <c r="G535" s="133">
        <v>0</v>
      </c>
      <c r="H535" s="111">
        <v>5</v>
      </c>
      <c r="I535" s="111">
        <v>0</v>
      </c>
      <c r="J535" s="111">
        <v>0</v>
      </c>
      <c r="K535" s="111">
        <v>0</v>
      </c>
      <c r="L535">
        <v>0</v>
      </c>
    </row>
    <row r="536" spans="1:12" x14ac:dyDescent="0.2">
      <c r="A536" s="111" t="s">
        <v>612</v>
      </c>
      <c r="B536" s="132">
        <v>34</v>
      </c>
      <c r="C536" s="111">
        <v>177.8</v>
      </c>
      <c r="D536" s="111">
        <v>77.110640000000004</v>
      </c>
      <c r="E536" s="111">
        <v>70</v>
      </c>
      <c r="F536" s="111">
        <v>2</v>
      </c>
      <c r="G536" s="133">
        <v>0</v>
      </c>
      <c r="H536" s="111">
        <v>9</v>
      </c>
      <c r="I536" s="111">
        <v>0</v>
      </c>
      <c r="J536" s="111">
        <v>0</v>
      </c>
      <c r="K536" s="111">
        <v>0</v>
      </c>
      <c r="L536">
        <v>0</v>
      </c>
    </row>
    <row r="537" spans="1:12" x14ac:dyDescent="0.2">
      <c r="A537" s="111" t="s">
        <v>613</v>
      </c>
      <c r="B537" s="132">
        <v>38</v>
      </c>
      <c r="C537" s="111">
        <v>193.04</v>
      </c>
      <c r="D537" s="111">
        <v>113.398</v>
      </c>
      <c r="E537" s="111">
        <v>78</v>
      </c>
      <c r="F537" s="111">
        <v>5</v>
      </c>
      <c r="G537" s="133">
        <v>0.4</v>
      </c>
      <c r="H537" s="111">
        <v>34.4</v>
      </c>
      <c r="I537" s="111">
        <v>1</v>
      </c>
      <c r="J537" s="111">
        <v>0.2</v>
      </c>
      <c r="K537" s="111">
        <v>1.2</v>
      </c>
      <c r="L537">
        <v>0</v>
      </c>
    </row>
    <row r="538" spans="1:12" x14ac:dyDescent="0.2">
      <c r="A538" s="111" t="s">
        <v>614</v>
      </c>
      <c r="B538" s="132">
        <v>36</v>
      </c>
      <c r="C538" s="111">
        <v>167.64</v>
      </c>
      <c r="D538" s="111">
        <v>52.163080000000001</v>
      </c>
      <c r="E538" s="111">
        <v>64</v>
      </c>
      <c r="F538" s="111">
        <v>1</v>
      </c>
      <c r="G538" s="133">
        <v>1</v>
      </c>
      <c r="H538" s="111">
        <v>56</v>
      </c>
      <c r="I538" s="111">
        <v>1</v>
      </c>
      <c r="J538" s="111">
        <v>1</v>
      </c>
      <c r="K538" s="111">
        <v>4</v>
      </c>
      <c r="L538">
        <v>0</v>
      </c>
    </row>
    <row r="539" spans="1:12" x14ac:dyDescent="0.2">
      <c r="A539" s="111" t="s">
        <v>615</v>
      </c>
      <c r="B539" s="132">
        <v>38</v>
      </c>
      <c r="C539" s="111">
        <v>175.26</v>
      </c>
      <c r="D539" s="111">
        <v>77.110640000000004</v>
      </c>
      <c r="E539" s="111">
        <v>71</v>
      </c>
      <c r="F539" s="111">
        <v>6</v>
      </c>
      <c r="G539" s="133">
        <v>0.5</v>
      </c>
      <c r="H539" s="111">
        <v>30.833333333333332</v>
      </c>
      <c r="I539" s="111">
        <v>1.5</v>
      </c>
      <c r="J539" s="111">
        <v>0</v>
      </c>
      <c r="K539" s="111">
        <v>1</v>
      </c>
      <c r="L539">
        <v>1</v>
      </c>
    </row>
    <row r="540" spans="1:12" x14ac:dyDescent="0.2">
      <c r="A540" s="111" t="s">
        <v>616</v>
      </c>
      <c r="B540" s="132">
        <v>40</v>
      </c>
      <c r="C540" s="111">
        <v>182.88</v>
      </c>
      <c r="D540" s="111">
        <v>92.986360000000005</v>
      </c>
      <c r="E540" s="111">
        <v>73.842215999999993</v>
      </c>
      <c r="F540" s="111">
        <v>2</v>
      </c>
      <c r="G540" s="133">
        <v>0</v>
      </c>
      <c r="H540" s="111">
        <v>26.5</v>
      </c>
      <c r="I540" s="111">
        <v>2.5</v>
      </c>
      <c r="J540" s="111">
        <v>0.5</v>
      </c>
      <c r="K540" s="111">
        <v>2</v>
      </c>
      <c r="L540">
        <v>0</v>
      </c>
    </row>
    <row r="541" spans="1:12" x14ac:dyDescent="0.2">
      <c r="A541" s="111" t="s">
        <v>617</v>
      </c>
      <c r="B541" s="132">
        <v>29</v>
      </c>
      <c r="C541" s="111">
        <v>180.34</v>
      </c>
      <c r="D541" s="111">
        <v>77.110640000000004</v>
      </c>
      <c r="E541" s="111">
        <v>73</v>
      </c>
      <c r="F541" s="111">
        <v>2</v>
      </c>
      <c r="G541" s="133">
        <v>0.5</v>
      </c>
      <c r="H541" s="111">
        <v>7</v>
      </c>
      <c r="I541" s="111">
        <v>0</v>
      </c>
      <c r="J541" s="111">
        <v>2.5</v>
      </c>
      <c r="K541" s="111">
        <v>0.5</v>
      </c>
      <c r="L541">
        <v>0</v>
      </c>
    </row>
    <row r="542" spans="1:12" x14ac:dyDescent="0.2">
      <c r="A542" s="111" t="s">
        <v>618</v>
      </c>
      <c r="B542" s="132">
        <v>29</v>
      </c>
      <c r="C542" s="111">
        <v>162.56</v>
      </c>
      <c r="D542" s="111">
        <v>56.698999999999998</v>
      </c>
      <c r="E542" s="111">
        <v>64</v>
      </c>
      <c r="F542" s="111">
        <v>4</v>
      </c>
      <c r="G542" s="133">
        <v>1</v>
      </c>
      <c r="H542" s="111">
        <v>56.75</v>
      </c>
      <c r="I542" s="111">
        <v>2.25</v>
      </c>
      <c r="J542" s="111">
        <v>0.25</v>
      </c>
      <c r="K542" s="111">
        <v>1.75</v>
      </c>
      <c r="L542">
        <v>0</v>
      </c>
    </row>
    <row r="543" spans="1:12" x14ac:dyDescent="0.2">
      <c r="A543" s="111" t="s">
        <v>619</v>
      </c>
      <c r="B543" s="132">
        <v>33</v>
      </c>
      <c r="C543" s="111">
        <v>170.18</v>
      </c>
      <c r="D543" s="111">
        <v>70.306759999999997</v>
      </c>
      <c r="E543" s="111">
        <v>68</v>
      </c>
      <c r="F543" s="111">
        <v>3</v>
      </c>
      <c r="G543" s="133">
        <v>0.33333333333333331</v>
      </c>
      <c r="H543" s="111">
        <v>35.333333333333336</v>
      </c>
      <c r="I543" s="111">
        <v>0</v>
      </c>
      <c r="J543" s="111">
        <v>0</v>
      </c>
      <c r="K543" s="111">
        <v>0</v>
      </c>
      <c r="L543">
        <v>1</v>
      </c>
    </row>
    <row r="544" spans="1:12" x14ac:dyDescent="0.2">
      <c r="A544" s="111" t="s">
        <v>620</v>
      </c>
      <c r="B544" s="132">
        <v>42</v>
      </c>
      <c r="C544" s="111">
        <v>167.64</v>
      </c>
      <c r="D544" s="111">
        <v>70.306759999999997</v>
      </c>
      <c r="E544" s="111">
        <v>71</v>
      </c>
      <c r="F544" s="111">
        <v>11</v>
      </c>
      <c r="G544" s="133">
        <v>0.54545454545454541</v>
      </c>
      <c r="H544" s="111">
        <v>23.454545454545453</v>
      </c>
      <c r="I544" s="111">
        <v>1.4545454545454546</v>
      </c>
      <c r="J544" s="111">
        <v>2.0909090909090908</v>
      </c>
      <c r="K544" s="111">
        <v>0.81818181818181823</v>
      </c>
      <c r="L544">
        <v>0</v>
      </c>
    </row>
    <row r="545" spans="1:12" x14ac:dyDescent="0.2">
      <c r="A545" s="111" t="s">
        <v>621</v>
      </c>
      <c r="B545" s="132">
        <v>31</v>
      </c>
      <c r="C545" s="111">
        <v>182.88</v>
      </c>
      <c r="D545" s="111">
        <v>77.110640000000004</v>
      </c>
      <c r="E545" s="111">
        <v>74</v>
      </c>
      <c r="F545" s="111">
        <v>2</v>
      </c>
      <c r="G545" s="133">
        <v>0</v>
      </c>
      <c r="H545" s="111">
        <v>41</v>
      </c>
      <c r="I545" s="111">
        <v>0</v>
      </c>
      <c r="J545" s="111">
        <v>0.5</v>
      </c>
      <c r="K545" s="111">
        <v>0.5</v>
      </c>
      <c r="L545">
        <v>0</v>
      </c>
    </row>
    <row r="546" spans="1:12" x14ac:dyDescent="0.2">
      <c r="A546" s="111" t="s">
        <v>622</v>
      </c>
      <c r="B546" s="132">
        <v>35</v>
      </c>
      <c r="C546" s="111">
        <v>172.72</v>
      </c>
      <c r="D546" s="111">
        <v>61.234920000000002</v>
      </c>
      <c r="E546" s="111">
        <v>69</v>
      </c>
      <c r="F546" s="111">
        <v>3</v>
      </c>
      <c r="G546" s="133">
        <v>1</v>
      </c>
      <c r="H546" s="111">
        <v>49</v>
      </c>
      <c r="I546" s="111">
        <v>0.66666666666666663</v>
      </c>
      <c r="J546" s="111">
        <v>0</v>
      </c>
      <c r="K546" s="111">
        <v>0</v>
      </c>
      <c r="L546">
        <v>1</v>
      </c>
    </row>
    <row r="547" spans="1:12" x14ac:dyDescent="0.2">
      <c r="A547" s="111" t="s">
        <v>623</v>
      </c>
      <c r="B547" s="132">
        <v>45</v>
      </c>
      <c r="C547" s="111">
        <v>177.8</v>
      </c>
      <c r="D547" s="111">
        <v>92.986360000000005</v>
      </c>
      <c r="E547" s="111">
        <v>71.832059999999998</v>
      </c>
      <c r="F547" s="111">
        <v>1</v>
      </c>
      <c r="G547" s="133">
        <v>0</v>
      </c>
      <c r="H547" s="111">
        <v>4</v>
      </c>
      <c r="I547" s="111">
        <v>2</v>
      </c>
      <c r="J547" s="111">
        <v>0</v>
      </c>
      <c r="K547" s="111">
        <v>3</v>
      </c>
      <c r="L547">
        <v>0</v>
      </c>
    </row>
    <row r="548" spans="1:12" x14ac:dyDescent="0.2">
      <c r="A548" s="111" t="s">
        <v>624</v>
      </c>
      <c r="B548" s="132" t="s">
        <v>1596</v>
      </c>
      <c r="C548" s="111">
        <v>177.8</v>
      </c>
      <c r="D548" s="111">
        <v>70.306759999999997</v>
      </c>
      <c r="E548" s="111">
        <v>68</v>
      </c>
      <c r="F548" s="111">
        <v>1</v>
      </c>
      <c r="G548" s="133">
        <v>0</v>
      </c>
      <c r="H548" s="111">
        <v>10</v>
      </c>
      <c r="I548" s="111">
        <v>0</v>
      </c>
      <c r="J548" s="111">
        <v>0</v>
      </c>
      <c r="K548" s="111">
        <v>0</v>
      </c>
      <c r="L548">
        <v>0</v>
      </c>
    </row>
    <row r="549" spans="1:12" x14ac:dyDescent="0.2">
      <c r="A549" s="111" t="s">
        <v>625</v>
      </c>
      <c r="B549" s="132">
        <v>44</v>
      </c>
      <c r="C549" s="111">
        <v>182.88</v>
      </c>
      <c r="D549" s="111">
        <v>92.986360000000005</v>
      </c>
      <c r="E549" s="111">
        <v>72</v>
      </c>
      <c r="F549" s="111">
        <v>6</v>
      </c>
      <c r="G549" s="133">
        <v>0.33333333333333331</v>
      </c>
      <c r="H549" s="111">
        <v>15.333333333333334</v>
      </c>
      <c r="I549" s="111">
        <v>0.16666666666666666</v>
      </c>
      <c r="J549" s="111">
        <v>0</v>
      </c>
      <c r="K549" s="111">
        <v>0</v>
      </c>
      <c r="L549">
        <v>0</v>
      </c>
    </row>
    <row r="550" spans="1:12" x14ac:dyDescent="0.2">
      <c r="A550" s="111" t="s">
        <v>626</v>
      </c>
      <c r="B550" s="132" t="s">
        <v>1596</v>
      </c>
      <c r="C550" s="111">
        <v>185.42</v>
      </c>
      <c r="D550" s="111">
        <v>95.254320000000007</v>
      </c>
      <c r="E550" s="111">
        <v>74.847294000000005</v>
      </c>
      <c r="F550" s="111">
        <v>1</v>
      </c>
      <c r="G550" s="133">
        <v>0</v>
      </c>
      <c r="H550" s="111">
        <v>1</v>
      </c>
      <c r="I550" s="111">
        <v>0</v>
      </c>
      <c r="J550" s="111">
        <v>0</v>
      </c>
      <c r="K550" s="111">
        <v>0</v>
      </c>
      <c r="L550">
        <v>0</v>
      </c>
    </row>
    <row r="551" spans="1:12" x14ac:dyDescent="0.2">
      <c r="A551" s="111" t="s">
        <v>627</v>
      </c>
      <c r="B551" s="132">
        <v>48</v>
      </c>
      <c r="C551" s="111">
        <v>182.88</v>
      </c>
      <c r="D551" s="111">
        <v>108.86208000000001</v>
      </c>
      <c r="E551" s="111">
        <v>73.842215999999993</v>
      </c>
      <c r="F551" s="111">
        <v>1</v>
      </c>
      <c r="G551" s="133">
        <v>0</v>
      </c>
      <c r="H551" s="111">
        <v>0</v>
      </c>
      <c r="I551" s="111">
        <v>1</v>
      </c>
      <c r="J551" s="111">
        <v>0</v>
      </c>
      <c r="K551" s="111">
        <v>1</v>
      </c>
      <c r="L551">
        <v>0</v>
      </c>
    </row>
    <row r="552" spans="1:12" x14ac:dyDescent="0.2">
      <c r="A552" s="111" t="s">
        <v>628</v>
      </c>
      <c r="B552" s="132">
        <v>34</v>
      </c>
      <c r="C552" s="111">
        <v>167.64</v>
      </c>
      <c r="D552" s="111">
        <v>61.234920000000002</v>
      </c>
      <c r="E552" s="111">
        <v>67</v>
      </c>
      <c r="F552" s="111">
        <v>6</v>
      </c>
      <c r="G552" s="133">
        <v>0.5</v>
      </c>
      <c r="H552" s="111">
        <v>34.166666666666664</v>
      </c>
      <c r="I552" s="111">
        <v>0.16666666666666666</v>
      </c>
      <c r="J552" s="111">
        <v>0</v>
      </c>
      <c r="K552" s="111">
        <v>0</v>
      </c>
      <c r="L552">
        <v>0</v>
      </c>
    </row>
    <row r="553" spans="1:12" x14ac:dyDescent="0.2">
      <c r="A553" s="111" t="s">
        <v>629</v>
      </c>
      <c r="B553" s="132">
        <v>32</v>
      </c>
      <c r="F553" s="111">
        <v>1</v>
      </c>
      <c r="G553" s="133">
        <v>0</v>
      </c>
      <c r="H553" s="111">
        <v>18</v>
      </c>
      <c r="I553" s="111">
        <v>1</v>
      </c>
      <c r="J553" s="111">
        <v>0</v>
      </c>
      <c r="K553" s="111">
        <v>1</v>
      </c>
      <c r="L553">
        <v>0</v>
      </c>
    </row>
    <row r="554" spans="1:12" x14ac:dyDescent="0.2">
      <c r="A554" s="111" t="s">
        <v>630</v>
      </c>
      <c r="B554" s="132">
        <v>31</v>
      </c>
      <c r="C554" s="111">
        <v>190.5</v>
      </c>
      <c r="D554" s="111">
        <v>77.110640000000004</v>
      </c>
      <c r="E554" s="111">
        <v>77</v>
      </c>
      <c r="F554" s="111">
        <v>5</v>
      </c>
      <c r="G554" s="133">
        <v>0.6</v>
      </c>
      <c r="H554" s="111">
        <v>47</v>
      </c>
      <c r="I554" s="111">
        <v>0.2</v>
      </c>
      <c r="J554" s="111">
        <v>0.2</v>
      </c>
      <c r="K554" s="111">
        <v>0</v>
      </c>
      <c r="L554">
        <v>0</v>
      </c>
    </row>
    <row r="555" spans="1:12" x14ac:dyDescent="0.2">
      <c r="A555" s="111" t="s">
        <v>631</v>
      </c>
      <c r="B555" s="132">
        <v>30</v>
      </c>
      <c r="C555" s="111">
        <v>165.1</v>
      </c>
      <c r="D555" s="111">
        <v>61.234920000000002</v>
      </c>
      <c r="E555" s="111">
        <v>64</v>
      </c>
      <c r="F555" s="111">
        <v>2</v>
      </c>
      <c r="G555" s="133">
        <v>0.5</v>
      </c>
      <c r="H555" s="111">
        <v>0.5</v>
      </c>
      <c r="I555" s="111">
        <v>0</v>
      </c>
      <c r="J555" s="111">
        <v>3</v>
      </c>
      <c r="K555" s="111">
        <v>0</v>
      </c>
      <c r="L555">
        <v>0</v>
      </c>
    </row>
    <row r="556" spans="1:12" x14ac:dyDescent="0.2">
      <c r="A556" s="111" t="s">
        <v>632</v>
      </c>
      <c r="B556" s="132">
        <v>46</v>
      </c>
      <c r="C556" s="111">
        <v>180.34</v>
      </c>
      <c r="D556" s="111">
        <v>102.0582</v>
      </c>
      <c r="E556" s="111">
        <v>72.837137999999996</v>
      </c>
      <c r="F556" s="111">
        <v>29</v>
      </c>
      <c r="G556" s="133">
        <v>0.89655172413793105</v>
      </c>
      <c r="H556" s="111">
        <v>2.8620689655172415</v>
      </c>
      <c r="I556" s="111">
        <v>6.8965517241379309E-2</v>
      </c>
      <c r="J556" s="111">
        <v>6.8965517241379309E-2</v>
      </c>
      <c r="K556" s="111">
        <v>0</v>
      </c>
      <c r="L556">
        <v>0</v>
      </c>
    </row>
    <row r="557" spans="1:12" x14ac:dyDescent="0.2">
      <c r="A557" s="111" t="s">
        <v>633</v>
      </c>
      <c r="B557" s="132">
        <v>33</v>
      </c>
      <c r="C557" s="111">
        <v>172.72</v>
      </c>
      <c r="D557" s="111">
        <v>65.770840000000007</v>
      </c>
      <c r="E557" s="111">
        <v>69.821904000000004</v>
      </c>
      <c r="F557" s="111">
        <v>3</v>
      </c>
      <c r="G557" s="133">
        <v>0.33333333333333331</v>
      </c>
      <c r="H557" s="111">
        <v>40.666666666666664</v>
      </c>
      <c r="I557" s="111">
        <v>1</v>
      </c>
      <c r="J557" s="111">
        <v>0.33333333333333331</v>
      </c>
      <c r="K557" s="111">
        <v>1.3333333333333333</v>
      </c>
      <c r="L557">
        <v>0</v>
      </c>
    </row>
    <row r="558" spans="1:12" x14ac:dyDescent="0.2">
      <c r="A558" s="111" t="s">
        <v>634</v>
      </c>
      <c r="B558" s="132">
        <v>32</v>
      </c>
      <c r="C558" s="111">
        <v>165.1</v>
      </c>
      <c r="D558" s="111">
        <v>56.698999999999998</v>
      </c>
      <c r="E558" s="111">
        <v>64</v>
      </c>
      <c r="F558" s="111">
        <v>6</v>
      </c>
      <c r="G558" s="133">
        <v>0.33333333333333331</v>
      </c>
      <c r="H558" s="111">
        <v>57.666666666666664</v>
      </c>
      <c r="I558" s="111">
        <v>1.8333333333333333</v>
      </c>
      <c r="J558" s="111">
        <v>0</v>
      </c>
      <c r="K558" s="111">
        <v>2.3333333333333335</v>
      </c>
      <c r="L558">
        <v>0</v>
      </c>
    </row>
    <row r="559" spans="1:12" x14ac:dyDescent="0.2">
      <c r="A559" s="111" t="s">
        <v>635</v>
      </c>
      <c r="B559" s="132">
        <v>34</v>
      </c>
      <c r="C559" s="111">
        <v>190.5</v>
      </c>
      <c r="D559" s="111">
        <v>106.59412</v>
      </c>
      <c r="E559" s="111">
        <v>76.85745</v>
      </c>
      <c r="F559" s="111">
        <v>1</v>
      </c>
      <c r="G559" s="133">
        <v>0</v>
      </c>
      <c r="H559" s="111">
        <v>2</v>
      </c>
      <c r="I559" s="111">
        <v>0</v>
      </c>
      <c r="J559" s="111">
        <v>0</v>
      </c>
      <c r="K559" s="111">
        <v>0</v>
      </c>
      <c r="L559">
        <v>0</v>
      </c>
    </row>
    <row r="560" spans="1:12" x14ac:dyDescent="0.2">
      <c r="A560" s="111" t="s">
        <v>636</v>
      </c>
      <c r="B560" s="132">
        <v>36</v>
      </c>
      <c r="C560" s="111">
        <v>185.42</v>
      </c>
      <c r="D560" s="111">
        <v>77.110640000000004</v>
      </c>
      <c r="E560" s="111">
        <v>77</v>
      </c>
      <c r="F560" s="111">
        <v>4</v>
      </c>
      <c r="G560" s="133">
        <v>0.5</v>
      </c>
      <c r="H560" s="111">
        <v>20</v>
      </c>
      <c r="I560" s="111">
        <v>0.75</v>
      </c>
      <c r="J560" s="111">
        <v>0.5</v>
      </c>
      <c r="K560" s="111">
        <v>2.5</v>
      </c>
      <c r="L560">
        <v>0</v>
      </c>
    </row>
    <row r="561" spans="1:12" x14ac:dyDescent="0.2">
      <c r="A561" s="111" t="s">
        <v>637</v>
      </c>
      <c r="B561" s="132">
        <v>37</v>
      </c>
      <c r="C561" s="111">
        <v>182.88</v>
      </c>
      <c r="D561" s="111">
        <v>92.986360000000005</v>
      </c>
      <c r="E561" s="111">
        <v>76</v>
      </c>
      <c r="F561" s="111">
        <v>12</v>
      </c>
      <c r="G561" s="133">
        <v>0.33333333333333331</v>
      </c>
      <c r="H561" s="111">
        <v>21.166666666666668</v>
      </c>
      <c r="I561" s="111">
        <v>0.58333333333333337</v>
      </c>
      <c r="J561" s="111">
        <v>0.16666666666666666</v>
      </c>
      <c r="K561" s="111">
        <v>0.5</v>
      </c>
      <c r="L561">
        <v>0</v>
      </c>
    </row>
    <row r="562" spans="1:12" x14ac:dyDescent="0.2">
      <c r="A562" s="111" t="s">
        <v>638</v>
      </c>
      <c r="B562" s="132" t="s">
        <v>1596</v>
      </c>
      <c r="C562" s="111">
        <v>185.42</v>
      </c>
      <c r="D562" s="111">
        <v>90.264808000000002</v>
      </c>
      <c r="E562" s="111">
        <v>74.847294000000005</v>
      </c>
      <c r="F562" s="111">
        <v>1</v>
      </c>
      <c r="G562" s="133">
        <v>0</v>
      </c>
      <c r="H562" s="111">
        <v>0</v>
      </c>
      <c r="I562" s="111">
        <v>0</v>
      </c>
      <c r="J562" s="111">
        <v>0</v>
      </c>
      <c r="K562" s="111">
        <v>0</v>
      </c>
      <c r="L562">
        <v>0</v>
      </c>
    </row>
    <row r="563" spans="1:12" x14ac:dyDescent="0.2">
      <c r="A563" s="111" t="s">
        <v>639</v>
      </c>
      <c r="B563" s="132">
        <v>40</v>
      </c>
      <c r="C563" s="111">
        <v>175.26</v>
      </c>
      <c r="D563" s="111">
        <v>82.100151999999994</v>
      </c>
      <c r="E563" s="111">
        <v>70.826982000000001</v>
      </c>
      <c r="F563" s="111">
        <v>1</v>
      </c>
      <c r="G563" s="133">
        <v>1</v>
      </c>
      <c r="H563" s="111">
        <v>3</v>
      </c>
      <c r="I563" s="111">
        <v>3</v>
      </c>
      <c r="J563" s="111">
        <v>0</v>
      </c>
      <c r="K563" s="111">
        <v>2</v>
      </c>
      <c r="L563">
        <v>0</v>
      </c>
    </row>
    <row r="564" spans="1:12" x14ac:dyDescent="0.2">
      <c r="A564" s="111" t="s">
        <v>640</v>
      </c>
      <c r="B564" s="132">
        <v>34</v>
      </c>
      <c r="C564" s="111">
        <v>187.96</v>
      </c>
      <c r="D564" s="111">
        <v>83.914519999999996</v>
      </c>
      <c r="E564" s="111">
        <v>78</v>
      </c>
      <c r="F564" s="111">
        <v>7</v>
      </c>
      <c r="G564" s="133">
        <v>0.5714285714285714</v>
      </c>
      <c r="H564" s="111">
        <v>26.857142857142858</v>
      </c>
      <c r="I564" s="111">
        <v>1.8571428571428572</v>
      </c>
      <c r="J564" s="111">
        <v>0.8571428571428571</v>
      </c>
      <c r="K564" s="111">
        <v>1.5714285714285714</v>
      </c>
      <c r="L564">
        <v>0</v>
      </c>
    </row>
    <row r="565" spans="1:12" x14ac:dyDescent="0.2">
      <c r="A565" s="111" t="s">
        <v>641</v>
      </c>
      <c r="B565" s="132">
        <v>36</v>
      </c>
      <c r="C565" s="111">
        <v>165.1</v>
      </c>
      <c r="D565" s="111">
        <v>56.698999999999998</v>
      </c>
      <c r="E565" s="111">
        <v>66</v>
      </c>
      <c r="F565" s="111">
        <v>3</v>
      </c>
      <c r="G565" s="133">
        <v>0</v>
      </c>
      <c r="H565" s="111">
        <v>27</v>
      </c>
      <c r="I565" s="111">
        <v>1</v>
      </c>
      <c r="J565" s="111">
        <v>0</v>
      </c>
      <c r="K565" s="111">
        <v>0.33333333333333331</v>
      </c>
      <c r="L565">
        <v>0</v>
      </c>
    </row>
    <row r="566" spans="1:12" x14ac:dyDescent="0.2">
      <c r="A566" s="111" t="s">
        <v>642</v>
      </c>
      <c r="B566" s="132">
        <v>33</v>
      </c>
      <c r="C566" s="111">
        <v>177.8</v>
      </c>
      <c r="D566" s="111">
        <v>92.986360000000005</v>
      </c>
      <c r="E566" s="111">
        <v>73</v>
      </c>
      <c r="F566" s="111">
        <v>6</v>
      </c>
      <c r="G566" s="133">
        <v>0.66666666666666663</v>
      </c>
      <c r="H566" s="111">
        <v>7.5</v>
      </c>
      <c r="I566" s="111">
        <v>0.5</v>
      </c>
      <c r="J566" s="111">
        <v>0.33333333333333331</v>
      </c>
      <c r="K566" s="111">
        <v>0.16666666666666666</v>
      </c>
      <c r="L566">
        <v>0</v>
      </c>
    </row>
    <row r="567" spans="1:12" x14ac:dyDescent="0.2">
      <c r="A567" s="111" t="s">
        <v>643</v>
      </c>
      <c r="B567" s="132">
        <v>38</v>
      </c>
      <c r="C567" s="111">
        <v>172.72</v>
      </c>
      <c r="D567" s="111">
        <v>70.306759999999997</v>
      </c>
      <c r="E567" s="111">
        <v>68</v>
      </c>
      <c r="F567" s="111">
        <v>4</v>
      </c>
      <c r="G567" s="133">
        <v>0.25</v>
      </c>
      <c r="H567" s="111">
        <v>71</v>
      </c>
      <c r="I567" s="111">
        <v>0.25</v>
      </c>
      <c r="J567" s="111">
        <v>0</v>
      </c>
      <c r="K567" s="111">
        <v>0</v>
      </c>
      <c r="L567">
        <v>0</v>
      </c>
    </row>
    <row r="568" spans="1:12" x14ac:dyDescent="0.2">
      <c r="A568" s="111" t="s">
        <v>644</v>
      </c>
      <c r="B568" s="132">
        <v>25</v>
      </c>
      <c r="C568" s="111">
        <v>177.8</v>
      </c>
      <c r="D568" s="111">
        <v>70.306759999999997</v>
      </c>
      <c r="E568" s="111">
        <v>70</v>
      </c>
      <c r="F568" s="111">
        <v>2</v>
      </c>
      <c r="G568" s="133">
        <v>0.5</v>
      </c>
      <c r="H568" s="111">
        <v>18</v>
      </c>
      <c r="I568" s="111">
        <v>1.5</v>
      </c>
      <c r="J568" s="111">
        <v>0.5</v>
      </c>
      <c r="K568" s="111">
        <v>1.5</v>
      </c>
      <c r="L568">
        <v>0</v>
      </c>
    </row>
    <row r="569" spans="1:12" x14ac:dyDescent="0.2">
      <c r="A569" s="111" t="s">
        <v>645</v>
      </c>
      <c r="B569" s="132">
        <v>32</v>
      </c>
      <c r="C569" s="111">
        <v>165.1</v>
      </c>
      <c r="D569" s="111">
        <v>61.234920000000002</v>
      </c>
      <c r="E569" s="111">
        <v>63</v>
      </c>
      <c r="F569" s="111">
        <v>3</v>
      </c>
      <c r="G569" s="133">
        <v>0.33333333333333331</v>
      </c>
      <c r="H569" s="111">
        <v>10.333333333333334</v>
      </c>
      <c r="I569" s="111">
        <v>0.33333333333333331</v>
      </c>
      <c r="J569" s="111">
        <v>0</v>
      </c>
      <c r="K569" s="111">
        <v>0.66666666666666663</v>
      </c>
      <c r="L569">
        <v>0</v>
      </c>
    </row>
    <row r="570" spans="1:12" x14ac:dyDescent="0.2">
      <c r="A570" s="111" t="s">
        <v>646</v>
      </c>
      <c r="B570" s="132">
        <v>36</v>
      </c>
      <c r="C570" s="111">
        <v>175.26</v>
      </c>
      <c r="D570" s="111">
        <v>61.234920000000002</v>
      </c>
      <c r="E570" s="111">
        <v>71</v>
      </c>
      <c r="F570" s="111">
        <v>12</v>
      </c>
      <c r="G570" s="133">
        <v>0.58333333333333337</v>
      </c>
      <c r="H570" s="111">
        <v>27.5</v>
      </c>
      <c r="I570" s="111">
        <v>1.0833333333333333</v>
      </c>
      <c r="J570" s="111">
        <v>0.33333333333333331</v>
      </c>
      <c r="K570" s="111">
        <v>2.75</v>
      </c>
      <c r="L570">
        <v>1</v>
      </c>
    </row>
    <row r="571" spans="1:12" x14ac:dyDescent="0.2">
      <c r="A571" s="111" t="s">
        <v>647</v>
      </c>
      <c r="B571" s="132">
        <v>36</v>
      </c>
      <c r="C571" s="111">
        <v>175.26</v>
      </c>
      <c r="D571" s="111">
        <v>70.306759999999997</v>
      </c>
      <c r="E571" s="111">
        <v>73</v>
      </c>
      <c r="F571" s="111">
        <v>4</v>
      </c>
      <c r="G571" s="133">
        <v>0.5</v>
      </c>
      <c r="H571" s="111">
        <v>41</v>
      </c>
      <c r="I571" s="111">
        <v>1.25</v>
      </c>
      <c r="J571" s="111">
        <v>0.5</v>
      </c>
      <c r="K571" s="111">
        <v>1</v>
      </c>
      <c r="L571">
        <v>0</v>
      </c>
    </row>
    <row r="572" spans="1:12" x14ac:dyDescent="0.2">
      <c r="A572" s="111" t="s">
        <v>648</v>
      </c>
      <c r="B572" s="132">
        <v>34</v>
      </c>
      <c r="C572" s="111">
        <v>167.64</v>
      </c>
      <c r="D572" s="111">
        <v>65.770840000000007</v>
      </c>
      <c r="E572" s="111">
        <v>64</v>
      </c>
      <c r="F572" s="111">
        <v>9</v>
      </c>
      <c r="G572" s="133">
        <v>0.44444444444444442</v>
      </c>
      <c r="H572" s="111">
        <v>23</v>
      </c>
      <c r="I572" s="111">
        <v>0.22222222222222221</v>
      </c>
      <c r="J572" s="111">
        <v>0.66666666666666663</v>
      </c>
      <c r="K572" s="111">
        <v>0.22222222222222221</v>
      </c>
      <c r="L572">
        <v>0</v>
      </c>
    </row>
    <row r="573" spans="1:12" x14ac:dyDescent="0.2">
      <c r="A573" s="111" t="s">
        <v>649</v>
      </c>
      <c r="B573" s="132">
        <v>45</v>
      </c>
      <c r="C573" s="111">
        <v>182.88</v>
      </c>
      <c r="D573" s="111">
        <v>83.914519999999996</v>
      </c>
      <c r="E573" s="111">
        <v>73.842215999999993</v>
      </c>
      <c r="F573" s="111">
        <v>7</v>
      </c>
      <c r="G573" s="133">
        <v>0.42857142857142855</v>
      </c>
      <c r="H573" s="111">
        <v>16.428571428571427</v>
      </c>
      <c r="I573" s="111">
        <v>0.2857142857142857</v>
      </c>
      <c r="J573" s="111">
        <v>1.4285714285714286</v>
      </c>
      <c r="K573" s="111">
        <v>1.1428571428571428</v>
      </c>
      <c r="L573">
        <v>0</v>
      </c>
    </row>
    <row r="574" spans="1:12" x14ac:dyDescent="0.2">
      <c r="A574" s="111" t="s">
        <v>650</v>
      </c>
      <c r="B574" s="132" t="s">
        <v>1596</v>
      </c>
      <c r="C574" s="111">
        <v>182.88</v>
      </c>
      <c r="D574" s="111">
        <v>92.986360000000005</v>
      </c>
      <c r="E574" s="111">
        <v>73.842215999999993</v>
      </c>
      <c r="F574" s="111">
        <v>1</v>
      </c>
      <c r="G574" s="133">
        <v>0</v>
      </c>
      <c r="H574" s="111">
        <v>3</v>
      </c>
      <c r="I574" s="111">
        <v>0</v>
      </c>
      <c r="J574" s="111">
        <v>0</v>
      </c>
      <c r="K574" s="111">
        <v>0</v>
      </c>
      <c r="L574">
        <v>0</v>
      </c>
    </row>
    <row r="575" spans="1:12" x14ac:dyDescent="0.2">
      <c r="A575" s="111" t="s">
        <v>651</v>
      </c>
      <c r="B575" s="132">
        <v>25</v>
      </c>
      <c r="C575" s="111">
        <v>165.1</v>
      </c>
      <c r="D575" s="111">
        <v>52.163080000000001</v>
      </c>
      <c r="E575" s="111">
        <v>66.806669999999997</v>
      </c>
      <c r="F575" s="111">
        <v>1</v>
      </c>
      <c r="G575" s="133">
        <v>0</v>
      </c>
      <c r="H575" s="111">
        <v>32</v>
      </c>
      <c r="I575" s="111">
        <v>1</v>
      </c>
      <c r="J575" s="111">
        <v>0</v>
      </c>
      <c r="K575" s="111">
        <v>0</v>
      </c>
      <c r="L575">
        <v>0</v>
      </c>
    </row>
    <row r="576" spans="1:12" x14ac:dyDescent="0.2">
      <c r="A576" s="111" t="s">
        <v>652</v>
      </c>
      <c r="B576" s="132">
        <v>35</v>
      </c>
      <c r="C576" s="111">
        <v>203.2</v>
      </c>
      <c r="D576" s="111">
        <v>115.66596</v>
      </c>
      <c r="E576" s="111">
        <v>79</v>
      </c>
      <c r="F576" s="111">
        <v>2</v>
      </c>
      <c r="G576" s="133">
        <v>0</v>
      </c>
      <c r="H576" s="111">
        <v>12.5</v>
      </c>
      <c r="I576" s="111">
        <v>0.5</v>
      </c>
      <c r="J576" s="111">
        <v>0</v>
      </c>
      <c r="K576" s="111">
        <v>0.5</v>
      </c>
      <c r="L576">
        <v>0</v>
      </c>
    </row>
    <row r="577" spans="1:12" x14ac:dyDescent="0.2">
      <c r="A577" s="111" t="s">
        <v>653</v>
      </c>
      <c r="B577" s="132" t="s">
        <v>1596</v>
      </c>
      <c r="F577" s="111">
        <v>1</v>
      </c>
      <c r="G577" s="133">
        <v>1</v>
      </c>
      <c r="H577" s="111">
        <v>11</v>
      </c>
      <c r="I577" s="111">
        <v>0</v>
      </c>
      <c r="J577" s="111">
        <v>0</v>
      </c>
      <c r="K577" s="111">
        <v>3</v>
      </c>
      <c r="L577">
        <v>0</v>
      </c>
    </row>
    <row r="578" spans="1:12" x14ac:dyDescent="0.2">
      <c r="A578" s="111" t="s">
        <v>654</v>
      </c>
      <c r="B578" s="132">
        <v>36</v>
      </c>
      <c r="C578" s="111">
        <v>175.26</v>
      </c>
      <c r="D578" s="111">
        <v>70.306759999999997</v>
      </c>
      <c r="E578" s="111">
        <v>71</v>
      </c>
      <c r="F578" s="111">
        <v>10</v>
      </c>
      <c r="G578" s="133">
        <v>0.6</v>
      </c>
      <c r="H578" s="111">
        <v>13.4</v>
      </c>
      <c r="I578" s="111">
        <v>2.4</v>
      </c>
      <c r="J578" s="111">
        <v>1.5</v>
      </c>
      <c r="K578" s="111">
        <v>3.5</v>
      </c>
      <c r="L578">
        <v>1</v>
      </c>
    </row>
    <row r="579" spans="1:12" x14ac:dyDescent="0.2">
      <c r="A579" s="111" t="s">
        <v>655</v>
      </c>
      <c r="B579" s="132">
        <v>28</v>
      </c>
      <c r="C579" s="111">
        <v>190.5</v>
      </c>
      <c r="D579" s="111">
        <v>83.914519999999996</v>
      </c>
      <c r="E579" s="111">
        <v>78</v>
      </c>
      <c r="F579" s="111">
        <v>3</v>
      </c>
      <c r="G579" s="133">
        <v>0.33333333333333331</v>
      </c>
      <c r="H579" s="111">
        <v>34.666666666666664</v>
      </c>
      <c r="I579" s="111">
        <v>0.66666666666666663</v>
      </c>
      <c r="J579" s="111">
        <v>0.33333333333333331</v>
      </c>
      <c r="K579" s="111">
        <v>1.6666666666666667</v>
      </c>
      <c r="L579">
        <v>0</v>
      </c>
    </row>
    <row r="580" spans="1:12" x14ac:dyDescent="0.2">
      <c r="A580" s="111" t="s">
        <v>656</v>
      </c>
      <c r="B580" s="132">
        <v>31</v>
      </c>
      <c r="C580" s="111">
        <v>175.26</v>
      </c>
      <c r="D580" s="111">
        <v>77.110640000000004</v>
      </c>
      <c r="E580" s="111">
        <v>71</v>
      </c>
      <c r="F580" s="111">
        <v>16</v>
      </c>
      <c r="G580" s="133">
        <v>0.5625</v>
      </c>
      <c r="H580" s="111">
        <v>21.9375</v>
      </c>
      <c r="I580" s="111">
        <v>1.375</v>
      </c>
      <c r="J580" s="111">
        <v>0.25</v>
      </c>
      <c r="K580" s="111">
        <v>0.375</v>
      </c>
      <c r="L580">
        <v>0</v>
      </c>
    </row>
    <row r="581" spans="1:12" x14ac:dyDescent="0.2">
      <c r="A581" s="111" t="s">
        <v>657</v>
      </c>
      <c r="B581" s="132">
        <v>32</v>
      </c>
      <c r="C581" s="111">
        <v>182.88</v>
      </c>
      <c r="D581" s="111">
        <v>77.110640000000004</v>
      </c>
      <c r="E581" s="111">
        <v>76</v>
      </c>
      <c r="F581" s="111">
        <v>3</v>
      </c>
      <c r="G581" s="133">
        <v>0.33333333333333331</v>
      </c>
      <c r="H581" s="111">
        <v>24</v>
      </c>
      <c r="I581" s="111">
        <v>1</v>
      </c>
      <c r="J581" s="111">
        <v>0</v>
      </c>
      <c r="K581" s="111">
        <v>0.66666666666666663</v>
      </c>
      <c r="L581">
        <v>0</v>
      </c>
    </row>
    <row r="582" spans="1:12" x14ac:dyDescent="0.2">
      <c r="A582" s="111" t="s">
        <v>658</v>
      </c>
      <c r="B582" s="132">
        <v>30</v>
      </c>
      <c r="C582" s="111">
        <v>180.34</v>
      </c>
      <c r="D582" s="111">
        <v>70.306759999999997</v>
      </c>
      <c r="E582" s="111">
        <v>71</v>
      </c>
      <c r="F582" s="111">
        <v>3</v>
      </c>
      <c r="G582" s="133">
        <v>0</v>
      </c>
      <c r="H582" s="111">
        <v>26.333333333333332</v>
      </c>
      <c r="I582" s="111">
        <v>0.33333333333333331</v>
      </c>
      <c r="J582" s="111">
        <v>0</v>
      </c>
      <c r="K582" s="111">
        <v>0.33333333333333331</v>
      </c>
      <c r="L582">
        <v>0</v>
      </c>
    </row>
    <row r="583" spans="1:12" x14ac:dyDescent="0.2">
      <c r="A583" s="111" t="s">
        <v>659</v>
      </c>
      <c r="B583" s="132">
        <v>22</v>
      </c>
      <c r="C583" s="111">
        <v>175.26</v>
      </c>
      <c r="D583" s="111">
        <v>70.306759999999997</v>
      </c>
      <c r="E583" s="111">
        <v>72</v>
      </c>
      <c r="F583" s="111">
        <v>4</v>
      </c>
      <c r="G583" s="133">
        <v>0.75</v>
      </c>
      <c r="H583" s="111">
        <v>38</v>
      </c>
      <c r="I583" s="111">
        <v>1.75</v>
      </c>
      <c r="J583" s="111">
        <v>0.5</v>
      </c>
      <c r="K583" s="111">
        <v>1</v>
      </c>
      <c r="L583">
        <v>0</v>
      </c>
    </row>
    <row r="584" spans="1:12" x14ac:dyDescent="0.2">
      <c r="A584" s="111" t="s">
        <v>660</v>
      </c>
      <c r="B584" s="132">
        <v>32</v>
      </c>
      <c r="C584" s="111">
        <v>190.5</v>
      </c>
      <c r="D584" s="111">
        <v>92.986360000000005</v>
      </c>
      <c r="E584" s="111">
        <v>76</v>
      </c>
      <c r="F584" s="111">
        <v>7</v>
      </c>
      <c r="G584" s="133">
        <v>0.5714285714285714</v>
      </c>
      <c r="H584" s="111">
        <v>13.142857142857142</v>
      </c>
      <c r="I584" s="111">
        <v>4.2857142857142856</v>
      </c>
      <c r="J584" s="111">
        <v>0.14285714285714285</v>
      </c>
      <c r="K584" s="111">
        <v>2.7142857142857144</v>
      </c>
      <c r="L584">
        <v>0</v>
      </c>
    </row>
    <row r="585" spans="1:12" x14ac:dyDescent="0.2">
      <c r="A585" s="111" t="s">
        <v>661</v>
      </c>
      <c r="B585" s="132">
        <v>34</v>
      </c>
      <c r="C585" s="111">
        <v>185.42</v>
      </c>
      <c r="D585" s="111">
        <v>83.914519999999996</v>
      </c>
      <c r="E585" s="111">
        <v>74.847294000000005</v>
      </c>
      <c r="F585" s="111">
        <v>3</v>
      </c>
      <c r="G585" s="133">
        <v>0.33333333333333331</v>
      </c>
      <c r="H585" s="111">
        <v>9.3333333333333339</v>
      </c>
      <c r="I585" s="111">
        <v>2.3333333333333335</v>
      </c>
      <c r="J585" s="111">
        <v>0.66666666666666663</v>
      </c>
      <c r="K585" s="111">
        <v>2</v>
      </c>
      <c r="L585">
        <v>0</v>
      </c>
    </row>
    <row r="586" spans="1:12" x14ac:dyDescent="0.2">
      <c r="A586" s="111" t="s">
        <v>662</v>
      </c>
      <c r="B586" s="132">
        <v>37</v>
      </c>
      <c r="C586" s="111">
        <v>182.88</v>
      </c>
      <c r="D586" s="111">
        <v>77.110640000000004</v>
      </c>
      <c r="E586" s="111">
        <v>72</v>
      </c>
      <c r="F586" s="111">
        <v>8</v>
      </c>
      <c r="G586" s="133">
        <v>0.5</v>
      </c>
      <c r="H586" s="111">
        <v>43.625</v>
      </c>
      <c r="I586" s="111">
        <v>1.25</v>
      </c>
      <c r="J586" s="111">
        <v>0.125</v>
      </c>
      <c r="K586" s="111">
        <v>2.875</v>
      </c>
      <c r="L586">
        <v>0</v>
      </c>
    </row>
    <row r="587" spans="1:12" x14ac:dyDescent="0.2">
      <c r="A587" s="111" t="s">
        <v>663</v>
      </c>
      <c r="B587" s="132">
        <v>38</v>
      </c>
      <c r="C587" s="111">
        <v>180.34</v>
      </c>
      <c r="D587" s="111">
        <v>77.110640000000004</v>
      </c>
      <c r="E587" s="111">
        <v>72.837137999999996</v>
      </c>
      <c r="F587" s="111">
        <v>1</v>
      </c>
      <c r="G587" s="133">
        <v>0</v>
      </c>
      <c r="H587" s="111">
        <v>9</v>
      </c>
      <c r="I587" s="111">
        <v>0</v>
      </c>
      <c r="J587" s="111">
        <v>0</v>
      </c>
      <c r="K587" s="111">
        <v>0</v>
      </c>
      <c r="L587">
        <v>0</v>
      </c>
    </row>
    <row r="588" spans="1:12" x14ac:dyDescent="0.2">
      <c r="A588" s="111" t="s">
        <v>664</v>
      </c>
      <c r="B588" s="132">
        <v>33</v>
      </c>
      <c r="C588" s="111">
        <v>190.5</v>
      </c>
      <c r="D588" s="111">
        <v>83.914519999999996</v>
      </c>
      <c r="E588" s="111">
        <v>76.85745</v>
      </c>
      <c r="F588" s="111">
        <v>1</v>
      </c>
      <c r="G588" s="133">
        <v>0</v>
      </c>
      <c r="H588" s="111">
        <v>29</v>
      </c>
      <c r="I588" s="111">
        <v>2</v>
      </c>
      <c r="J588" s="111">
        <v>1</v>
      </c>
      <c r="K588" s="111">
        <v>1</v>
      </c>
      <c r="L588">
        <v>0</v>
      </c>
    </row>
    <row r="589" spans="1:12" x14ac:dyDescent="0.2">
      <c r="A589" s="111" t="s">
        <v>665</v>
      </c>
      <c r="B589" s="132">
        <v>32</v>
      </c>
      <c r="C589" s="111">
        <v>185.42</v>
      </c>
      <c r="D589" s="111">
        <v>77.110640000000004</v>
      </c>
      <c r="E589" s="111">
        <v>73</v>
      </c>
      <c r="F589" s="111">
        <v>5</v>
      </c>
      <c r="G589" s="133">
        <v>0.4</v>
      </c>
      <c r="H589" s="111">
        <v>20.2</v>
      </c>
      <c r="I589" s="111">
        <v>0.2</v>
      </c>
      <c r="J589" s="111">
        <v>0.4</v>
      </c>
      <c r="K589" s="111">
        <v>1</v>
      </c>
      <c r="L589">
        <v>0</v>
      </c>
    </row>
    <row r="590" spans="1:12" x14ac:dyDescent="0.2">
      <c r="A590" s="111" t="s">
        <v>666</v>
      </c>
      <c r="B590" s="132">
        <v>38</v>
      </c>
      <c r="C590" s="111">
        <v>187.96</v>
      </c>
      <c r="D590" s="111">
        <v>92.986360000000005</v>
      </c>
      <c r="E590" s="111">
        <v>75</v>
      </c>
      <c r="F590" s="111">
        <v>10</v>
      </c>
      <c r="G590" s="133">
        <v>0.4</v>
      </c>
      <c r="H590" s="111">
        <v>5.9</v>
      </c>
      <c r="I590" s="111">
        <v>0</v>
      </c>
      <c r="J590" s="111">
        <v>0.1</v>
      </c>
      <c r="K590" s="111">
        <v>0</v>
      </c>
      <c r="L590">
        <v>0</v>
      </c>
    </row>
    <row r="591" spans="1:12" x14ac:dyDescent="0.2">
      <c r="A591" s="111" t="s">
        <v>667</v>
      </c>
      <c r="B591" s="132">
        <v>30</v>
      </c>
      <c r="C591" s="111">
        <v>187.96</v>
      </c>
      <c r="D591" s="111">
        <v>70.306759999999997</v>
      </c>
      <c r="E591" s="111">
        <v>73</v>
      </c>
      <c r="F591" s="111">
        <v>7</v>
      </c>
      <c r="G591" s="133">
        <v>0.5714285714285714</v>
      </c>
      <c r="H591" s="111">
        <v>48.857142857142854</v>
      </c>
      <c r="I591" s="111">
        <v>0.5714285714285714</v>
      </c>
      <c r="J591" s="111">
        <v>0.5714285714285714</v>
      </c>
      <c r="K591" s="111">
        <v>0.7142857142857143</v>
      </c>
      <c r="L591">
        <v>0</v>
      </c>
    </row>
    <row r="592" spans="1:12" x14ac:dyDescent="0.2">
      <c r="A592" s="111" t="s">
        <v>668</v>
      </c>
      <c r="B592" s="132">
        <v>43</v>
      </c>
      <c r="C592" s="111">
        <v>180.34</v>
      </c>
      <c r="D592" s="111">
        <v>92.986360000000005</v>
      </c>
      <c r="E592" s="111">
        <v>72.837137999999996</v>
      </c>
      <c r="F592" s="111">
        <v>1</v>
      </c>
      <c r="G592" s="133">
        <v>0</v>
      </c>
      <c r="H592" s="111">
        <v>0</v>
      </c>
      <c r="I592" s="111">
        <v>2</v>
      </c>
      <c r="J592" s="111">
        <v>0</v>
      </c>
      <c r="K592" s="111">
        <v>0</v>
      </c>
      <c r="L592">
        <v>1</v>
      </c>
    </row>
    <row r="593" spans="1:12" x14ac:dyDescent="0.2">
      <c r="A593" s="111" t="s">
        <v>669</v>
      </c>
      <c r="B593" s="132">
        <v>36</v>
      </c>
      <c r="C593" s="111">
        <v>193.04</v>
      </c>
      <c r="D593" s="111">
        <v>104.32616</v>
      </c>
      <c r="E593" s="111">
        <v>77</v>
      </c>
      <c r="F593" s="111">
        <v>3</v>
      </c>
      <c r="G593" s="133">
        <v>0.33333333333333331</v>
      </c>
      <c r="H593" s="111">
        <v>37.666666666666664</v>
      </c>
      <c r="I593" s="111">
        <v>0.33333333333333331</v>
      </c>
      <c r="J593" s="111">
        <v>0.66666666666666663</v>
      </c>
      <c r="K593" s="111">
        <v>2.6666666666666665</v>
      </c>
      <c r="L593">
        <v>0</v>
      </c>
    </row>
    <row r="594" spans="1:12" x14ac:dyDescent="0.2">
      <c r="A594" s="111" t="s">
        <v>670</v>
      </c>
      <c r="B594" s="132">
        <v>28</v>
      </c>
      <c r="C594" s="111">
        <v>177.8</v>
      </c>
      <c r="D594" s="111">
        <v>77.110640000000004</v>
      </c>
      <c r="E594" s="111">
        <v>71</v>
      </c>
      <c r="F594" s="111">
        <v>4</v>
      </c>
      <c r="G594" s="133">
        <v>0.5</v>
      </c>
      <c r="H594" s="111">
        <v>21</v>
      </c>
      <c r="I594" s="111">
        <v>0</v>
      </c>
      <c r="J594" s="111">
        <v>0.25</v>
      </c>
      <c r="K594" s="111">
        <v>0.5</v>
      </c>
      <c r="L594">
        <v>0</v>
      </c>
    </row>
    <row r="595" spans="1:12" x14ac:dyDescent="0.2">
      <c r="A595" s="111" t="s">
        <v>671</v>
      </c>
      <c r="B595" s="132">
        <v>35</v>
      </c>
      <c r="C595" s="111">
        <v>187.96</v>
      </c>
      <c r="D595" s="111">
        <v>83.914519999999996</v>
      </c>
      <c r="E595" s="111">
        <v>75</v>
      </c>
      <c r="F595" s="111">
        <v>9</v>
      </c>
      <c r="G595" s="133">
        <v>0.55555555555555558</v>
      </c>
      <c r="H595" s="111">
        <v>26.777777777777779</v>
      </c>
      <c r="I595" s="111">
        <v>1.2222222222222223</v>
      </c>
      <c r="J595" s="111">
        <v>0.1111111111111111</v>
      </c>
      <c r="K595" s="111">
        <v>1</v>
      </c>
      <c r="L595">
        <v>0</v>
      </c>
    </row>
    <row r="596" spans="1:12" x14ac:dyDescent="0.2">
      <c r="A596" s="111" t="s">
        <v>672</v>
      </c>
      <c r="B596" s="132">
        <v>48</v>
      </c>
      <c r="C596" s="111">
        <v>175.26</v>
      </c>
      <c r="D596" s="111">
        <v>99.790239999999997</v>
      </c>
      <c r="E596" s="111">
        <v>70.826982000000001</v>
      </c>
      <c r="F596" s="111">
        <v>1</v>
      </c>
      <c r="G596" s="133">
        <v>0</v>
      </c>
      <c r="H596" s="111">
        <v>0</v>
      </c>
      <c r="I596" s="111">
        <v>0</v>
      </c>
      <c r="J596" s="111">
        <v>0</v>
      </c>
      <c r="K596" s="111">
        <v>0</v>
      </c>
      <c r="L596">
        <v>0</v>
      </c>
    </row>
    <row r="597" spans="1:12" x14ac:dyDescent="0.2">
      <c r="A597" s="111" t="s">
        <v>673</v>
      </c>
      <c r="B597" s="132">
        <v>29</v>
      </c>
      <c r="C597" s="111">
        <v>190.5</v>
      </c>
      <c r="D597" s="111">
        <v>70.306759999999997</v>
      </c>
      <c r="E597" s="111">
        <v>76</v>
      </c>
      <c r="F597" s="111">
        <v>4</v>
      </c>
      <c r="G597" s="133">
        <v>1</v>
      </c>
      <c r="H597" s="111">
        <v>31.75</v>
      </c>
      <c r="I597" s="111">
        <v>0</v>
      </c>
      <c r="J597" s="111">
        <v>0.5</v>
      </c>
      <c r="K597" s="111">
        <v>0.25</v>
      </c>
      <c r="L597">
        <v>0</v>
      </c>
    </row>
    <row r="598" spans="1:12" x14ac:dyDescent="0.2">
      <c r="A598" s="111" t="s">
        <v>674</v>
      </c>
      <c r="B598" s="132">
        <v>38</v>
      </c>
      <c r="C598" s="111">
        <v>185.42</v>
      </c>
      <c r="D598" s="111">
        <v>77.110640000000004</v>
      </c>
      <c r="E598" s="111">
        <v>75</v>
      </c>
      <c r="F598" s="111">
        <v>4</v>
      </c>
      <c r="G598" s="133">
        <v>0.5</v>
      </c>
      <c r="H598" s="111">
        <v>21.5</v>
      </c>
      <c r="I598" s="111">
        <v>1</v>
      </c>
      <c r="J598" s="111">
        <v>3</v>
      </c>
      <c r="K598" s="111">
        <v>1</v>
      </c>
      <c r="L598">
        <v>0</v>
      </c>
    </row>
    <row r="599" spans="1:12" x14ac:dyDescent="0.2">
      <c r="A599" s="111" t="s">
        <v>675</v>
      </c>
      <c r="B599" s="132">
        <v>39</v>
      </c>
      <c r="C599" s="111">
        <v>187.96</v>
      </c>
      <c r="D599" s="111">
        <v>92.986360000000005</v>
      </c>
      <c r="E599" s="111">
        <v>75.852372000000003</v>
      </c>
      <c r="F599" s="111">
        <v>1</v>
      </c>
      <c r="G599" s="133">
        <v>0</v>
      </c>
      <c r="H599" s="111">
        <v>29</v>
      </c>
      <c r="I599" s="111">
        <v>0</v>
      </c>
      <c r="J599" s="111">
        <v>1</v>
      </c>
      <c r="K599" s="111">
        <v>0</v>
      </c>
      <c r="L599">
        <v>0</v>
      </c>
    </row>
    <row r="600" spans="1:12" x14ac:dyDescent="0.2">
      <c r="A600" s="111" t="s">
        <v>676</v>
      </c>
      <c r="B600" s="132">
        <v>32</v>
      </c>
      <c r="C600" s="111">
        <v>172.72</v>
      </c>
      <c r="D600" s="111">
        <v>70.306759999999997</v>
      </c>
      <c r="E600" s="111">
        <v>72</v>
      </c>
      <c r="F600" s="111">
        <v>9</v>
      </c>
      <c r="G600" s="133">
        <v>0.33333333333333331</v>
      </c>
      <c r="H600" s="111">
        <v>27</v>
      </c>
      <c r="I600" s="111">
        <v>2.5555555555555554</v>
      </c>
      <c r="J600" s="111">
        <v>0.66666666666666663</v>
      </c>
      <c r="K600" s="111">
        <v>1.1111111111111112</v>
      </c>
      <c r="L600">
        <v>0</v>
      </c>
    </row>
    <row r="601" spans="1:12" x14ac:dyDescent="0.2">
      <c r="A601" s="111" t="s">
        <v>677</v>
      </c>
      <c r="B601" s="132">
        <v>33</v>
      </c>
      <c r="C601" s="111">
        <v>185.42</v>
      </c>
      <c r="D601" s="111">
        <v>83.914519999999996</v>
      </c>
      <c r="E601" s="111">
        <v>74.847294000000005</v>
      </c>
      <c r="F601" s="111">
        <v>1</v>
      </c>
      <c r="G601" s="133">
        <v>0</v>
      </c>
      <c r="H601" s="111">
        <v>29</v>
      </c>
      <c r="I601" s="111">
        <v>0</v>
      </c>
      <c r="J601" s="111">
        <v>0</v>
      </c>
      <c r="K601" s="111">
        <v>0</v>
      </c>
      <c r="L601">
        <v>0</v>
      </c>
    </row>
    <row r="602" spans="1:12" x14ac:dyDescent="0.2">
      <c r="A602" s="111" t="s">
        <v>678</v>
      </c>
      <c r="B602" s="132">
        <v>33</v>
      </c>
      <c r="C602" s="111">
        <v>187.96</v>
      </c>
      <c r="D602" s="111">
        <v>92.986360000000005</v>
      </c>
      <c r="E602" s="111">
        <v>78</v>
      </c>
      <c r="F602" s="111">
        <v>3</v>
      </c>
      <c r="G602" s="133">
        <v>0.33333333333333331</v>
      </c>
      <c r="H602" s="111">
        <v>25.666666666666668</v>
      </c>
      <c r="I602" s="111">
        <v>0.33333333333333331</v>
      </c>
      <c r="J602" s="111">
        <v>0.33333333333333331</v>
      </c>
      <c r="K602" s="111">
        <v>0.33333333333333331</v>
      </c>
      <c r="L602">
        <v>0</v>
      </c>
    </row>
    <row r="603" spans="1:12" x14ac:dyDescent="0.2">
      <c r="A603" s="111" t="s">
        <v>679</v>
      </c>
      <c r="B603" s="132" t="s">
        <v>1596</v>
      </c>
      <c r="C603" s="111">
        <v>180.34</v>
      </c>
      <c r="D603" s="111">
        <v>108.86208000000001</v>
      </c>
      <c r="E603" s="111">
        <v>77</v>
      </c>
      <c r="F603" s="111">
        <v>1</v>
      </c>
      <c r="G603" s="133">
        <v>0</v>
      </c>
      <c r="H603" s="111">
        <v>10</v>
      </c>
      <c r="I603" s="111">
        <v>0</v>
      </c>
      <c r="J603" s="111">
        <v>0</v>
      </c>
      <c r="K603" s="111">
        <v>0</v>
      </c>
      <c r="L603">
        <v>0</v>
      </c>
    </row>
    <row r="604" spans="1:12" x14ac:dyDescent="0.2">
      <c r="A604" s="111" t="s">
        <v>680</v>
      </c>
      <c r="B604" s="132">
        <v>34</v>
      </c>
      <c r="C604" s="111">
        <v>190.5</v>
      </c>
      <c r="D604" s="111">
        <v>83.914519999999996</v>
      </c>
      <c r="E604" s="111">
        <v>75</v>
      </c>
      <c r="F604" s="111">
        <v>7</v>
      </c>
      <c r="G604" s="133">
        <v>0.2857142857142857</v>
      </c>
      <c r="H604" s="111">
        <v>40</v>
      </c>
      <c r="I604" s="111">
        <v>0.2857142857142857</v>
      </c>
      <c r="J604" s="111">
        <v>0</v>
      </c>
      <c r="K604" s="111">
        <v>1.5714285714285714</v>
      </c>
      <c r="L604">
        <v>0</v>
      </c>
    </row>
    <row r="605" spans="1:12" x14ac:dyDescent="0.2">
      <c r="A605" s="111" t="s">
        <v>681</v>
      </c>
      <c r="B605" s="132">
        <v>28</v>
      </c>
      <c r="C605" s="111">
        <v>172.72</v>
      </c>
      <c r="D605" s="111">
        <v>61.234920000000002</v>
      </c>
      <c r="E605" s="111">
        <v>67</v>
      </c>
      <c r="F605" s="111">
        <v>3</v>
      </c>
      <c r="G605" s="133">
        <v>0</v>
      </c>
      <c r="H605" s="111">
        <v>37</v>
      </c>
      <c r="I605" s="111">
        <v>0</v>
      </c>
      <c r="J605" s="111">
        <v>0</v>
      </c>
      <c r="K605" s="111">
        <v>0.33333333333333331</v>
      </c>
      <c r="L605">
        <v>1</v>
      </c>
    </row>
    <row r="606" spans="1:12" x14ac:dyDescent="0.2">
      <c r="A606" s="111" t="s">
        <v>682</v>
      </c>
      <c r="B606" s="132">
        <v>39</v>
      </c>
      <c r="C606" s="111">
        <v>175.26</v>
      </c>
      <c r="D606" s="111">
        <v>77.110640000000004</v>
      </c>
      <c r="E606" s="111">
        <v>70.826982000000001</v>
      </c>
      <c r="F606" s="111">
        <v>1</v>
      </c>
      <c r="G606" s="133">
        <v>0</v>
      </c>
      <c r="H606" s="111">
        <v>40</v>
      </c>
      <c r="I606" s="111">
        <v>2</v>
      </c>
      <c r="J606" s="111">
        <v>1</v>
      </c>
      <c r="K606" s="111">
        <v>3</v>
      </c>
      <c r="L606">
        <v>0</v>
      </c>
    </row>
    <row r="607" spans="1:12" x14ac:dyDescent="0.2">
      <c r="A607" s="111" t="s">
        <v>683</v>
      </c>
      <c r="B607" s="132">
        <v>30</v>
      </c>
      <c r="C607" s="111">
        <v>187.96</v>
      </c>
      <c r="D607" s="111">
        <v>120.20188</v>
      </c>
      <c r="E607" s="111">
        <v>75</v>
      </c>
      <c r="F607" s="111">
        <v>8</v>
      </c>
      <c r="G607" s="133">
        <v>0.75</v>
      </c>
      <c r="H607" s="111">
        <v>27.75</v>
      </c>
      <c r="I607" s="111">
        <v>1.625</v>
      </c>
      <c r="J607" s="111">
        <v>0.125</v>
      </c>
      <c r="K607" s="111">
        <v>2.75</v>
      </c>
      <c r="L607">
        <v>0</v>
      </c>
    </row>
    <row r="608" spans="1:12" x14ac:dyDescent="0.2">
      <c r="A608" s="111" t="s">
        <v>684</v>
      </c>
      <c r="B608" s="132">
        <v>44</v>
      </c>
      <c r="C608" s="111">
        <v>172.72</v>
      </c>
      <c r="D608" s="111">
        <v>70.306759999999997</v>
      </c>
      <c r="E608" s="111">
        <v>69.821904000000004</v>
      </c>
      <c r="F608" s="111">
        <v>2</v>
      </c>
      <c r="G608" s="133">
        <v>0</v>
      </c>
      <c r="H608" s="111">
        <v>5</v>
      </c>
      <c r="I608" s="111">
        <v>0</v>
      </c>
      <c r="J608" s="111">
        <v>4.5</v>
      </c>
      <c r="K608" s="111">
        <v>1.5</v>
      </c>
      <c r="L608">
        <v>0</v>
      </c>
    </row>
    <row r="609" spans="1:12" x14ac:dyDescent="0.2">
      <c r="A609" s="111" t="s">
        <v>685</v>
      </c>
      <c r="B609" s="132">
        <v>41</v>
      </c>
      <c r="C609" s="111">
        <v>180.34</v>
      </c>
      <c r="D609" s="111">
        <v>92.986360000000005</v>
      </c>
      <c r="E609" s="111">
        <v>71</v>
      </c>
      <c r="F609" s="111">
        <v>7</v>
      </c>
      <c r="G609" s="133">
        <v>0.42857142857142855</v>
      </c>
      <c r="H609" s="111">
        <v>26.428571428571427</v>
      </c>
      <c r="I609" s="111">
        <v>1.5714285714285714</v>
      </c>
      <c r="J609" s="111">
        <v>0.8571428571428571</v>
      </c>
      <c r="K609" s="111">
        <v>3.4285714285714284</v>
      </c>
      <c r="L609">
        <v>0</v>
      </c>
    </row>
    <row r="610" spans="1:12" x14ac:dyDescent="0.2">
      <c r="A610" s="111" t="s">
        <v>686</v>
      </c>
      <c r="B610" s="132">
        <v>37</v>
      </c>
      <c r="C610" s="111">
        <v>182.88</v>
      </c>
      <c r="D610" s="111">
        <v>83.914519999999996</v>
      </c>
      <c r="E610" s="111">
        <v>72</v>
      </c>
      <c r="F610" s="111">
        <v>3</v>
      </c>
      <c r="G610" s="133">
        <v>0.33333333333333331</v>
      </c>
      <c r="H610" s="111">
        <v>14</v>
      </c>
      <c r="I610" s="111">
        <v>0</v>
      </c>
      <c r="J610" s="111">
        <v>0</v>
      </c>
      <c r="K610" s="111">
        <v>0</v>
      </c>
      <c r="L610">
        <v>0</v>
      </c>
    </row>
    <row r="611" spans="1:12" x14ac:dyDescent="0.2">
      <c r="A611" s="111" t="s">
        <v>687</v>
      </c>
      <c r="B611" s="132">
        <v>47</v>
      </c>
      <c r="C611" s="111">
        <v>180.34</v>
      </c>
      <c r="D611" s="111">
        <v>86.182479999999998</v>
      </c>
      <c r="E611" s="111">
        <v>72.837137999999996</v>
      </c>
      <c r="F611" s="111">
        <v>3</v>
      </c>
      <c r="G611" s="133">
        <v>0.66666666666666663</v>
      </c>
      <c r="H611" s="111">
        <v>2</v>
      </c>
      <c r="I611" s="111">
        <v>0.66666666666666663</v>
      </c>
      <c r="J611" s="111">
        <v>2</v>
      </c>
      <c r="K611" s="111">
        <v>1.6666666666666667</v>
      </c>
      <c r="L611">
        <v>1</v>
      </c>
    </row>
    <row r="612" spans="1:12" x14ac:dyDescent="0.2">
      <c r="A612" s="111" t="s">
        <v>688</v>
      </c>
      <c r="B612" s="132">
        <v>36</v>
      </c>
      <c r="C612" s="111">
        <v>177.8</v>
      </c>
      <c r="D612" s="111">
        <v>70.306759999999997</v>
      </c>
      <c r="E612" s="111">
        <v>71</v>
      </c>
      <c r="F612" s="111">
        <v>4</v>
      </c>
      <c r="G612" s="133">
        <v>0.25</v>
      </c>
      <c r="H612" s="111">
        <v>22.25</v>
      </c>
      <c r="I612" s="111">
        <v>0</v>
      </c>
      <c r="J612" s="111">
        <v>1</v>
      </c>
      <c r="K612" s="111">
        <v>0</v>
      </c>
      <c r="L612">
        <v>0</v>
      </c>
    </row>
    <row r="613" spans="1:12" x14ac:dyDescent="0.2">
      <c r="A613" s="111" t="s">
        <v>689</v>
      </c>
      <c r="B613" s="132">
        <v>43</v>
      </c>
      <c r="C613" s="111">
        <v>185.42</v>
      </c>
      <c r="D613" s="111">
        <v>104.32616</v>
      </c>
      <c r="E613" s="111">
        <v>74.847294000000005</v>
      </c>
      <c r="F613" s="111">
        <v>1</v>
      </c>
      <c r="G613" s="133">
        <v>0</v>
      </c>
      <c r="H613" s="111">
        <v>9</v>
      </c>
      <c r="I613" s="111">
        <v>0</v>
      </c>
      <c r="J613" s="111">
        <v>0</v>
      </c>
      <c r="K613" s="111">
        <v>0</v>
      </c>
      <c r="L613">
        <v>0</v>
      </c>
    </row>
    <row r="614" spans="1:12" x14ac:dyDescent="0.2">
      <c r="A614" s="111" t="s">
        <v>690</v>
      </c>
      <c r="B614" s="132">
        <v>44</v>
      </c>
      <c r="C614" s="111">
        <v>182.88</v>
      </c>
      <c r="D614" s="111">
        <v>77.110640000000004</v>
      </c>
      <c r="E614" s="111">
        <v>73.842215999999993</v>
      </c>
      <c r="F614" s="111">
        <v>2</v>
      </c>
      <c r="G614" s="133">
        <v>0</v>
      </c>
      <c r="H614" s="111">
        <v>1.5</v>
      </c>
      <c r="I614" s="111">
        <v>0</v>
      </c>
      <c r="J614" s="111">
        <v>0</v>
      </c>
      <c r="K614" s="111">
        <v>0</v>
      </c>
      <c r="L614">
        <v>0</v>
      </c>
    </row>
    <row r="615" spans="1:12" x14ac:dyDescent="0.2">
      <c r="A615" s="111" t="s">
        <v>691</v>
      </c>
      <c r="B615" s="132">
        <v>52</v>
      </c>
      <c r="C615" s="111">
        <v>187.96</v>
      </c>
      <c r="D615" s="111">
        <v>104.32616</v>
      </c>
      <c r="E615" s="111">
        <v>75.852372000000003</v>
      </c>
      <c r="F615" s="111">
        <v>2</v>
      </c>
      <c r="G615" s="133">
        <v>0</v>
      </c>
      <c r="H615" s="111">
        <v>1.5</v>
      </c>
      <c r="I615" s="111">
        <v>0.5</v>
      </c>
      <c r="J615" s="111">
        <v>0</v>
      </c>
      <c r="K615" s="111">
        <v>0</v>
      </c>
      <c r="L615">
        <v>0</v>
      </c>
    </row>
    <row r="616" spans="1:12" x14ac:dyDescent="0.2">
      <c r="A616" s="111" t="s">
        <v>692</v>
      </c>
      <c r="B616" s="132">
        <v>35</v>
      </c>
      <c r="C616" s="111">
        <v>172.72</v>
      </c>
      <c r="D616" s="111">
        <v>70.306759999999997</v>
      </c>
      <c r="E616" s="111">
        <v>71</v>
      </c>
      <c r="F616" s="111">
        <v>5</v>
      </c>
      <c r="G616" s="133">
        <v>0.4</v>
      </c>
      <c r="H616" s="111">
        <v>8.4</v>
      </c>
      <c r="I616" s="111">
        <v>1.6</v>
      </c>
      <c r="J616" s="111">
        <v>1.8</v>
      </c>
      <c r="K616" s="111">
        <v>3</v>
      </c>
      <c r="L616">
        <v>1</v>
      </c>
    </row>
    <row r="617" spans="1:12" x14ac:dyDescent="0.2">
      <c r="A617" s="111" t="s">
        <v>693</v>
      </c>
      <c r="B617" s="132">
        <v>24</v>
      </c>
      <c r="C617" s="111">
        <v>182.88</v>
      </c>
      <c r="D617" s="111">
        <v>65.770840000000007</v>
      </c>
      <c r="E617" s="111">
        <v>73.842215999999993</v>
      </c>
      <c r="F617" s="111">
        <v>1</v>
      </c>
      <c r="G617" s="133">
        <v>0</v>
      </c>
      <c r="H617" s="111">
        <v>28</v>
      </c>
      <c r="I617" s="111">
        <v>0</v>
      </c>
      <c r="J617" s="111">
        <v>1</v>
      </c>
      <c r="K617" s="111">
        <v>0</v>
      </c>
      <c r="L617">
        <v>0</v>
      </c>
    </row>
    <row r="618" spans="1:12" x14ac:dyDescent="0.2">
      <c r="A618" s="111" t="s">
        <v>694</v>
      </c>
      <c r="B618" s="132">
        <v>39</v>
      </c>
      <c r="C618" s="111">
        <v>190.5</v>
      </c>
      <c r="D618" s="111">
        <v>83.914519999999996</v>
      </c>
      <c r="E618" s="111">
        <v>75</v>
      </c>
      <c r="F618" s="111">
        <v>8</v>
      </c>
      <c r="G618" s="133">
        <v>0.5</v>
      </c>
      <c r="H618" s="111">
        <v>17.875</v>
      </c>
      <c r="I618" s="111">
        <v>0.5</v>
      </c>
      <c r="J618" s="111">
        <v>0.875</v>
      </c>
      <c r="K618" s="111">
        <v>1</v>
      </c>
      <c r="L618">
        <v>0</v>
      </c>
    </row>
    <row r="619" spans="1:12" x14ac:dyDescent="0.2">
      <c r="A619" s="111" t="s">
        <v>695</v>
      </c>
      <c r="B619" s="132">
        <v>41</v>
      </c>
      <c r="C619" s="111">
        <v>190.5</v>
      </c>
      <c r="D619" s="111">
        <v>83.914519999999996</v>
      </c>
      <c r="E619" s="111">
        <v>80</v>
      </c>
      <c r="F619" s="111">
        <v>14</v>
      </c>
      <c r="G619" s="133">
        <v>0.42857142857142855</v>
      </c>
      <c r="H619" s="111">
        <v>9.2857142857142865</v>
      </c>
      <c r="I619" s="111">
        <v>0.5714285714285714</v>
      </c>
      <c r="J619" s="111">
        <v>0.7857142857142857</v>
      </c>
      <c r="K619" s="111">
        <v>0.9285714285714286</v>
      </c>
      <c r="L619">
        <v>0</v>
      </c>
    </row>
    <row r="620" spans="1:12" x14ac:dyDescent="0.2">
      <c r="A620" s="111" t="s">
        <v>696</v>
      </c>
      <c r="B620" s="132">
        <v>36</v>
      </c>
      <c r="C620" s="111">
        <v>185.42</v>
      </c>
      <c r="D620" s="111">
        <v>83.914519999999996</v>
      </c>
      <c r="E620" s="111">
        <v>72</v>
      </c>
      <c r="F620" s="111">
        <v>3</v>
      </c>
      <c r="G620" s="133">
        <v>0</v>
      </c>
      <c r="H620" s="111">
        <v>19</v>
      </c>
      <c r="I620" s="111">
        <v>0.66666666666666663</v>
      </c>
      <c r="J620" s="111">
        <v>0.66666666666666663</v>
      </c>
      <c r="K620" s="111">
        <v>0.33333333333333331</v>
      </c>
      <c r="L620">
        <v>0</v>
      </c>
    </row>
    <row r="621" spans="1:12" x14ac:dyDescent="0.2">
      <c r="A621" s="111" t="s">
        <v>697</v>
      </c>
      <c r="B621" s="132">
        <v>47</v>
      </c>
      <c r="C621" s="111">
        <v>167.64</v>
      </c>
      <c r="D621" s="111">
        <v>61.234920000000002</v>
      </c>
      <c r="E621" s="111">
        <v>67.811747999999994</v>
      </c>
      <c r="F621" s="111">
        <v>3</v>
      </c>
      <c r="G621" s="133">
        <v>0</v>
      </c>
      <c r="H621" s="111">
        <v>1.3333333333333333</v>
      </c>
      <c r="I621" s="111">
        <v>0.33333333333333331</v>
      </c>
      <c r="J621" s="111">
        <v>0</v>
      </c>
      <c r="K621" s="111">
        <v>0.33333333333333331</v>
      </c>
      <c r="L621">
        <v>0</v>
      </c>
    </row>
    <row r="622" spans="1:12" x14ac:dyDescent="0.2">
      <c r="A622" s="111" t="s">
        <v>698</v>
      </c>
      <c r="B622" s="132">
        <v>31</v>
      </c>
      <c r="C622" s="111">
        <v>180.34</v>
      </c>
      <c r="D622" s="111">
        <v>70.306759999999997</v>
      </c>
      <c r="E622" s="111">
        <v>71</v>
      </c>
      <c r="F622" s="111">
        <v>2</v>
      </c>
      <c r="G622" s="133">
        <v>0.5</v>
      </c>
      <c r="H622" s="111">
        <v>19.5</v>
      </c>
      <c r="I622" s="111">
        <v>4</v>
      </c>
      <c r="J622" s="111">
        <v>0</v>
      </c>
      <c r="K622" s="111">
        <v>8</v>
      </c>
      <c r="L622">
        <v>0</v>
      </c>
    </row>
    <row r="623" spans="1:12" x14ac:dyDescent="0.2">
      <c r="A623" s="111" t="s">
        <v>699</v>
      </c>
      <c r="B623" s="132" t="s">
        <v>1596</v>
      </c>
      <c r="C623" s="111">
        <v>177.8</v>
      </c>
      <c r="D623" s="111">
        <v>77.110640000000004</v>
      </c>
      <c r="E623" s="111">
        <v>71.832059999999998</v>
      </c>
      <c r="F623" s="111">
        <v>2</v>
      </c>
      <c r="G623" s="133">
        <v>0</v>
      </c>
      <c r="H623" s="111">
        <v>4</v>
      </c>
      <c r="I623" s="111">
        <v>0</v>
      </c>
      <c r="J623" s="111">
        <v>0</v>
      </c>
      <c r="K623" s="111">
        <v>0</v>
      </c>
      <c r="L623">
        <v>0</v>
      </c>
    </row>
    <row r="624" spans="1:12" x14ac:dyDescent="0.2">
      <c r="A624" s="111" t="s">
        <v>700</v>
      </c>
      <c r="B624" s="132">
        <v>41</v>
      </c>
      <c r="C624" s="111">
        <v>177.8</v>
      </c>
      <c r="D624" s="111">
        <v>83.914519999999996</v>
      </c>
      <c r="E624" s="111">
        <v>71.832059999999998</v>
      </c>
      <c r="F624" s="111">
        <v>1</v>
      </c>
      <c r="G624" s="133">
        <v>0</v>
      </c>
      <c r="H624" s="111">
        <v>1</v>
      </c>
      <c r="I624" s="111">
        <v>0</v>
      </c>
      <c r="J624" s="111">
        <v>0</v>
      </c>
      <c r="K624" s="111">
        <v>0</v>
      </c>
      <c r="L624">
        <v>0</v>
      </c>
    </row>
    <row r="625" spans="1:12" x14ac:dyDescent="0.2">
      <c r="A625" s="111" t="s">
        <v>701</v>
      </c>
      <c r="B625" s="132" t="s">
        <v>1596</v>
      </c>
      <c r="C625" s="111">
        <v>182.88</v>
      </c>
      <c r="D625" s="111">
        <v>77.110640000000004</v>
      </c>
      <c r="E625" s="111">
        <v>73.842215999999993</v>
      </c>
      <c r="F625" s="111">
        <v>3</v>
      </c>
      <c r="G625" s="133">
        <v>0.33333333333333331</v>
      </c>
      <c r="H625" s="111">
        <v>15</v>
      </c>
      <c r="I625" s="111">
        <v>0.66666666666666663</v>
      </c>
      <c r="J625" s="111">
        <v>1</v>
      </c>
      <c r="K625" s="111">
        <v>1</v>
      </c>
      <c r="L625">
        <v>0</v>
      </c>
    </row>
    <row r="626" spans="1:12" x14ac:dyDescent="0.2">
      <c r="A626" s="111" t="s">
        <v>702</v>
      </c>
      <c r="B626" s="132">
        <v>30</v>
      </c>
      <c r="C626" s="111">
        <v>175.26</v>
      </c>
      <c r="D626" s="111">
        <v>65.770840000000007</v>
      </c>
      <c r="E626" s="111">
        <v>73</v>
      </c>
      <c r="F626" s="111">
        <v>4</v>
      </c>
      <c r="G626" s="133">
        <v>0.25</v>
      </c>
      <c r="H626" s="111">
        <v>33.75</v>
      </c>
      <c r="I626" s="111">
        <v>1.5</v>
      </c>
      <c r="J626" s="111">
        <v>0</v>
      </c>
      <c r="K626" s="111">
        <v>0</v>
      </c>
      <c r="L626">
        <v>0</v>
      </c>
    </row>
    <row r="627" spans="1:12" x14ac:dyDescent="0.2">
      <c r="A627" s="111" t="s">
        <v>703</v>
      </c>
      <c r="B627" s="132">
        <v>39</v>
      </c>
      <c r="C627" s="111">
        <v>170.18</v>
      </c>
      <c r="D627" s="111">
        <v>65.770840000000007</v>
      </c>
      <c r="E627" s="111">
        <v>69</v>
      </c>
      <c r="F627" s="111">
        <v>1</v>
      </c>
      <c r="G627" s="133">
        <v>1</v>
      </c>
      <c r="H627" s="111">
        <v>62</v>
      </c>
      <c r="I627" s="111">
        <v>3</v>
      </c>
      <c r="J627" s="111">
        <v>1</v>
      </c>
      <c r="K627" s="111">
        <v>4</v>
      </c>
      <c r="L627">
        <v>1</v>
      </c>
    </row>
    <row r="628" spans="1:12" x14ac:dyDescent="0.2">
      <c r="A628" s="111" t="s">
        <v>704</v>
      </c>
      <c r="B628" s="132">
        <v>40</v>
      </c>
      <c r="C628" s="111">
        <v>182.88</v>
      </c>
      <c r="D628" s="111">
        <v>77.110640000000004</v>
      </c>
      <c r="E628" s="111">
        <v>75</v>
      </c>
      <c r="F628" s="111">
        <v>4</v>
      </c>
      <c r="G628" s="133">
        <v>0</v>
      </c>
      <c r="H628" s="111">
        <v>11.75</v>
      </c>
      <c r="I628" s="111">
        <v>2.25</v>
      </c>
      <c r="J628" s="111">
        <v>0.75</v>
      </c>
      <c r="K628" s="111">
        <v>2</v>
      </c>
      <c r="L628">
        <v>0</v>
      </c>
    </row>
    <row r="629" spans="1:12" x14ac:dyDescent="0.2">
      <c r="A629" s="111" t="s">
        <v>705</v>
      </c>
      <c r="B629" s="132">
        <v>35</v>
      </c>
      <c r="C629" s="111">
        <v>187.96</v>
      </c>
      <c r="D629" s="111">
        <v>83.914519999999996</v>
      </c>
      <c r="E629" s="111">
        <v>75.852372000000003</v>
      </c>
      <c r="F629" s="111">
        <v>2</v>
      </c>
      <c r="G629" s="133">
        <v>0</v>
      </c>
      <c r="H629" s="111">
        <v>17</v>
      </c>
      <c r="I629" s="111">
        <v>0</v>
      </c>
      <c r="J629" s="111">
        <v>1</v>
      </c>
      <c r="K629" s="111">
        <v>0.5</v>
      </c>
      <c r="L629">
        <v>1</v>
      </c>
    </row>
    <row r="630" spans="1:12" x14ac:dyDescent="0.2">
      <c r="A630" s="111" t="s">
        <v>706</v>
      </c>
      <c r="B630" s="132">
        <v>48</v>
      </c>
      <c r="C630" s="111">
        <v>177.8</v>
      </c>
      <c r="D630" s="111">
        <v>70.306759999999997</v>
      </c>
      <c r="E630" s="111">
        <v>71.832059999999998</v>
      </c>
      <c r="F630" s="111">
        <v>2</v>
      </c>
      <c r="G630" s="133">
        <v>0</v>
      </c>
      <c r="H630" s="111">
        <v>1</v>
      </c>
      <c r="I630" s="111">
        <v>0.5</v>
      </c>
      <c r="J630" s="111">
        <v>0</v>
      </c>
      <c r="K630" s="111">
        <v>0</v>
      </c>
      <c r="L630">
        <v>0</v>
      </c>
    </row>
    <row r="631" spans="1:12" x14ac:dyDescent="0.2">
      <c r="A631" s="111" t="s">
        <v>707</v>
      </c>
      <c r="B631" s="132">
        <v>39</v>
      </c>
      <c r="C631" s="111">
        <v>167.64</v>
      </c>
      <c r="D631" s="111">
        <v>61.234920000000002</v>
      </c>
      <c r="E631" s="111">
        <v>69</v>
      </c>
      <c r="F631" s="111">
        <v>3</v>
      </c>
      <c r="G631" s="133">
        <v>0</v>
      </c>
      <c r="H631" s="111">
        <v>27</v>
      </c>
      <c r="I631" s="111">
        <v>0</v>
      </c>
      <c r="J631" s="111">
        <v>0.66666666666666663</v>
      </c>
      <c r="K631" s="111">
        <v>0</v>
      </c>
      <c r="L631">
        <v>0</v>
      </c>
    </row>
    <row r="632" spans="1:12" x14ac:dyDescent="0.2">
      <c r="A632" s="111" t="s">
        <v>708</v>
      </c>
      <c r="B632" s="132">
        <v>38</v>
      </c>
      <c r="C632" s="111">
        <v>170.18</v>
      </c>
      <c r="D632" s="111">
        <v>61.234920000000002</v>
      </c>
      <c r="E632" s="111">
        <v>68</v>
      </c>
      <c r="F632" s="111">
        <v>3</v>
      </c>
      <c r="G632" s="133">
        <v>0.33333333333333331</v>
      </c>
      <c r="H632" s="111">
        <v>31</v>
      </c>
      <c r="I632" s="111">
        <v>0.66666666666666663</v>
      </c>
      <c r="J632" s="111">
        <v>1.3333333333333333</v>
      </c>
      <c r="K632" s="111">
        <v>0</v>
      </c>
      <c r="L632">
        <v>0</v>
      </c>
    </row>
    <row r="633" spans="1:12" x14ac:dyDescent="0.2">
      <c r="A633" s="111" t="s">
        <v>709</v>
      </c>
      <c r="B633" s="132">
        <v>41</v>
      </c>
      <c r="C633" s="111">
        <v>182.88</v>
      </c>
      <c r="D633" s="111">
        <v>77.110640000000004</v>
      </c>
      <c r="E633" s="111">
        <v>73.842215999999993</v>
      </c>
      <c r="F633" s="111">
        <v>1</v>
      </c>
      <c r="G633" s="133">
        <v>0</v>
      </c>
      <c r="H633" s="111">
        <v>18</v>
      </c>
      <c r="I633" s="111">
        <v>0</v>
      </c>
      <c r="J633" s="111">
        <v>1</v>
      </c>
      <c r="K633" s="111">
        <v>0</v>
      </c>
      <c r="L633">
        <v>0</v>
      </c>
    </row>
    <row r="634" spans="1:12" x14ac:dyDescent="0.2">
      <c r="A634" s="111" t="s">
        <v>710</v>
      </c>
      <c r="B634" s="132">
        <v>45</v>
      </c>
      <c r="C634" s="111">
        <v>175.26</v>
      </c>
      <c r="D634" s="111">
        <v>112.03722399999999</v>
      </c>
      <c r="E634" s="111">
        <v>74</v>
      </c>
      <c r="F634" s="111">
        <v>7</v>
      </c>
      <c r="G634" s="133">
        <v>0.5714285714285714</v>
      </c>
      <c r="H634" s="111">
        <v>16.571428571428573</v>
      </c>
      <c r="I634" s="111">
        <v>1.1428571428571428</v>
      </c>
      <c r="J634" s="111">
        <v>0.42857142857142855</v>
      </c>
      <c r="K634" s="111">
        <v>1</v>
      </c>
      <c r="L634">
        <v>0</v>
      </c>
    </row>
    <row r="635" spans="1:12" x14ac:dyDescent="0.2">
      <c r="A635" s="111" t="s">
        <v>711</v>
      </c>
      <c r="B635" s="132" t="s">
        <v>1596</v>
      </c>
      <c r="C635" s="111">
        <v>187.96</v>
      </c>
      <c r="D635" s="111">
        <v>92.986360000000005</v>
      </c>
      <c r="E635" s="111">
        <v>75.852372000000003</v>
      </c>
      <c r="F635" s="111">
        <v>1</v>
      </c>
      <c r="G635" s="133">
        <v>0</v>
      </c>
      <c r="H635" s="111">
        <v>2</v>
      </c>
      <c r="I635" s="111">
        <v>0</v>
      </c>
      <c r="J635" s="111">
        <v>4</v>
      </c>
      <c r="K635" s="111">
        <v>0</v>
      </c>
      <c r="L635">
        <v>0</v>
      </c>
    </row>
    <row r="636" spans="1:12" x14ac:dyDescent="0.2">
      <c r="A636" s="111" t="s">
        <v>712</v>
      </c>
      <c r="B636" s="132">
        <v>42</v>
      </c>
      <c r="C636" s="111">
        <v>170.18</v>
      </c>
      <c r="D636" s="111">
        <v>65.770840000000007</v>
      </c>
      <c r="E636" s="111">
        <v>70</v>
      </c>
      <c r="F636" s="111">
        <v>9</v>
      </c>
      <c r="G636" s="133">
        <v>0.66666666666666663</v>
      </c>
      <c r="H636" s="111">
        <v>25.333333333333332</v>
      </c>
      <c r="I636" s="111">
        <v>0.44444444444444442</v>
      </c>
      <c r="J636" s="111">
        <v>0.44444444444444442</v>
      </c>
      <c r="K636" s="111">
        <v>0.77777777777777779</v>
      </c>
      <c r="L636">
        <v>1</v>
      </c>
    </row>
    <row r="637" spans="1:12" x14ac:dyDescent="0.2">
      <c r="A637" s="111" t="s">
        <v>713</v>
      </c>
      <c r="B637" s="132">
        <v>41</v>
      </c>
      <c r="C637" s="111">
        <v>185.42</v>
      </c>
      <c r="D637" s="111">
        <v>83.914519999999996</v>
      </c>
      <c r="E637" s="111">
        <v>74</v>
      </c>
      <c r="F637" s="111">
        <v>13</v>
      </c>
      <c r="G637" s="133">
        <v>0.46153846153846156</v>
      </c>
      <c r="H637" s="111">
        <v>11.923076923076923</v>
      </c>
      <c r="I637" s="111">
        <v>0.84615384615384615</v>
      </c>
      <c r="J637" s="111">
        <v>0.92307692307692313</v>
      </c>
      <c r="K637" s="111">
        <v>1.3076923076923077</v>
      </c>
      <c r="L637">
        <v>0</v>
      </c>
    </row>
    <row r="638" spans="1:12" x14ac:dyDescent="0.2">
      <c r="A638" s="111" t="s">
        <v>714</v>
      </c>
      <c r="B638" s="132">
        <v>34</v>
      </c>
      <c r="C638" s="111">
        <v>177.8</v>
      </c>
      <c r="D638" s="111">
        <v>77.110640000000004</v>
      </c>
      <c r="E638" s="111">
        <v>71.832059999999998</v>
      </c>
      <c r="F638" s="111">
        <v>2</v>
      </c>
      <c r="G638" s="133">
        <v>0</v>
      </c>
      <c r="H638" s="111">
        <v>7</v>
      </c>
      <c r="I638" s="111">
        <v>1</v>
      </c>
      <c r="J638" s="111">
        <v>0</v>
      </c>
      <c r="K638" s="111">
        <v>1</v>
      </c>
      <c r="L638">
        <v>0</v>
      </c>
    </row>
    <row r="639" spans="1:12" x14ac:dyDescent="0.2">
      <c r="A639" s="111" t="s">
        <v>715</v>
      </c>
      <c r="B639" s="132">
        <v>30</v>
      </c>
      <c r="C639" s="111">
        <v>177.8</v>
      </c>
      <c r="D639" s="111">
        <v>65.770840000000007</v>
      </c>
      <c r="E639" s="111">
        <v>70</v>
      </c>
      <c r="F639" s="111">
        <v>3</v>
      </c>
      <c r="G639" s="133">
        <v>0</v>
      </c>
      <c r="H639" s="111">
        <v>29.333333333333332</v>
      </c>
      <c r="I639" s="111">
        <v>1</v>
      </c>
      <c r="J639" s="111">
        <v>0</v>
      </c>
      <c r="K639" s="111">
        <v>0</v>
      </c>
      <c r="L639">
        <v>0</v>
      </c>
    </row>
    <row r="640" spans="1:12" x14ac:dyDescent="0.2">
      <c r="A640" s="111" t="s">
        <v>716</v>
      </c>
      <c r="B640" s="132">
        <v>30</v>
      </c>
      <c r="C640" s="111">
        <v>172.72</v>
      </c>
      <c r="D640" s="111">
        <v>65.770840000000007</v>
      </c>
      <c r="E640" s="111">
        <v>71</v>
      </c>
      <c r="F640" s="111">
        <v>22</v>
      </c>
      <c r="G640" s="133">
        <v>0.5</v>
      </c>
      <c r="H640" s="111">
        <v>34.227272727272727</v>
      </c>
      <c r="I640" s="111">
        <v>1.2272727272727273</v>
      </c>
      <c r="J640" s="111">
        <v>0.40909090909090912</v>
      </c>
      <c r="K640" s="111">
        <v>0.36363636363636365</v>
      </c>
      <c r="L640">
        <v>0</v>
      </c>
    </row>
    <row r="641" spans="1:12" x14ac:dyDescent="0.2">
      <c r="A641" s="111" t="s">
        <v>717</v>
      </c>
      <c r="B641" s="132">
        <v>43</v>
      </c>
      <c r="C641" s="111">
        <v>170.18</v>
      </c>
      <c r="D641" s="111">
        <v>90.718400000000003</v>
      </c>
      <c r="E641" s="111">
        <v>68.816826000000006</v>
      </c>
      <c r="F641" s="111">
        <v>1</v>
      </c>
      <c r="G641" s="133">
        <v>0</v>
      </c>
      <c r="H641" s="111">
        <v>27</v>
      </c>
      <c r="I641" s="111">
        <v>0</v>
      </c>
      <c r="J641" s="111">
        <v>0</v>
      </c>
      <c r="K641" s="111">
        <v>0</v>
      </c>
      <c r="L641">
        <v>0</v>
      </c>
    </row>
    <row r="642" spans="1:12" x14ac:dyDescent="0.2">
      <c r="A642" s="111" t="s">
        <v>718</v>
      </c>
      <c r="B642" s="132">
        <v>36</v>
      </c>
      <c r="C642" s="111">
        <v>172.72</v>
      </c>
      <c r="D642" s="111">
        <v>61.234920000000002</v>
      </c>
      <c r="E642" s="111">
        <v>72</v>
      </c>
      <c r="F642" s="111">
        <v>3</v>
      </c>
      <c r="G642" s="133">
        <v>0.33333333333333331</v>
      </c>
      <c r="H642" s="111">
        <v>6</v>
      </c>
      <c r="I642" s="111">
        <v>1</v>
      </c>
      <c r="J642" s="111">
        <v>1</v>
      </c>
      <c r="K642" s="111">
        <v>2.6666666666666665</v>
      </c>
      <c r="L642">
        <v>0</v>
      </c>
    </row>
    <row r="643" spans="1:12" x14ac:dyDescent="0.2">
      <c r="A643" s="111" t="s">
        <v>719</v>
      </c>
      <c r="B643" s="132">
        <v>42</v>
      </c>
      <c r="C643" s="111">
        <v>180.34</v>
      </c>
      <c r="D643" s="111">
        <v>90.264808000000002</v>
      </c>
      <c r="E643" s="111">
        <v>72.837137999999996</v>
      </c>
      <c r="F643" s="111">
        <v>7</v>
      </c>
      <c r="G643" s="133">
        <v>0.7142857142857143</v>
      </c>
      <c r="H643" s="111">
        <v>6</v>
      </c>
      <c r="I643" s="111">
        <v>0.42857142857142855</v>
      </c>
      <c r="J643" s="111">
        <v>0.7142857142857143</v>
      </c>
      <c r="K643" s="111">
        <v>0.8571428571428571</v>
      </c>
      <c r="L643">
        <v>0</v>
      </c>
    </row>
    <row r="644" spans="1:12" x14ac:dyDescent="0.2">
      <c r="A644" s="111" t="s">
        <v>720</v>
      </c>
      <c r="B644" s="132" t="s">
        <v>1596</v>
      </c>
      <c r="C644" s="111">
        <v>175.26</v>
      </c>
      <c r="D644" s="111">
        <v>77.110640000000004</v>
      </c>
      <c r="E644" s="111">
        <v>72</v>
      </c>
      <c r="F644" s="111">
        <v>5</v>
      </c>
      <c r="G644" s="133">
        <v>0.4</v>
      </c>
      <c r="H644" s="111">
        <v>18</v>
      </c>
      <c r="I644" s="111">
        <v>1.6</v>
      </c>
      <c r="J644" s="111">
        <v>0.8</v>
      </c>
      <c r="K644" s="111">
        <v>0.4</v>
      </c>
      <c r="L644">
        <v>0</v>
      </c>
    </row>
    <row r="645" spans="1:12" x14ac:dyDescent="0.2">
      <c r="A645" s="111" t="s">
        <v>721</v>
      </c>
      <c r="B645" s="132">
        <v>30</v>
      </c>
      <c r="C645" s="111">
        <v>180.34</v>
      </c>
      <c r="D645" s="111">
        <v>61.234920000000002</v>
      </c>
      <c r="E645" s="111">
        <v>73</v>
      </c>
      <c r="F645" s="111">
        <v>4</v>
      </c>
      <c r="G645" s="133">
        <v>0.25</v>
      </c>
      <c r="H645" s="111">
        <v>57.25</v>
      </c>
      <c r="I645" s="111">
        <v>1</v>
      </c>
      <c r="J645" s="111">
        <v>1.5</v>
      </c>
      <c r="K645" s="111">
        <v>0.25</v>
      </c>
      <c r="L645">
        <v>0</v>
      </c>
    </row>
    <row r="646" spans="1:12" x14ac:dyDescent="0.2">
      <c r="A646" s="111" t="s">
        <v>722</v>
      </c>
      <c r="B646" s="132">
        <v>36</v>
      </c>
      <c r="C646" s="111">
        <v>182.88</v>
      </c>
      <c r="D646" s="111">
        <v>83.914519999999996</v>
      </c>
      <c r="E646" s="111">
        <v>73.842215999999993</v>
      </c>
      <c r="F646" s="111">
        <v>2</v>
      </c>
      <c r="G646" s="133">
        <v>0</v>
      </c>
      <c r="H646" s="111">
        <v>9</v>
      </c>
      <c r="I646" s="111">
        <v>2.5</v>
      </c>
      <c r="J646" s="111">
        <v>0</v>
      </c>
      <c r="K646" s="111">
        <v>2</v>
      </c>
      <c r="L646">
        <v>0</v>
      </c>
    </row>
    <row r="647" spans="1:12" x14ac:dyDescent="0.2">
      <c r="A647" s="111" t="s">
        <v>723</v>
      </c>
      <c r="B647" s="132">
        <v>32</v>
      </c>
      <c r="C647" s="111">
        <v>187.96</v>
      </c>
      <c r="D647" s="111">
        <v>83.914519999999996</v>
      </c>
      <c r="E647" s="111">
        <v>75</v>
      </c>
      <c r="F647" s="111">
        <v>3</v>
      </c>
      <c r="G647" s="133">
        <v>0</v>
      </c>
      <c r="H647" s="111">
        <v>14.666666666666666</v>
      </c>
      <c r="I647" s="111">
        <v>0.33333333333333331</v>
      </c>
      <c r="J647" s="111">
        <v>0.33333333333333331</v>
      </c>
      <c r="K647" s="111">
        <v>0.33333333333333331</v>
      </c>
      <c r="L647">
        <v>1</v>
      </c>
    </row>
    <row r="648" spans="1:12" x14ac:dyDescent="0.2">
      <c r="A648" s="111" t="s">
        <v>724</v>
      </c>
      <c r="B648" s="132">
        <v>34</v>
      </c>
      <c r="C648" s="111">
        <v>175.26</v>
      </c>
      <c r="D648" s="111">
        <v>77.110640000000004</v>
      </c>
      <c r="E648" s="111">
        <v>72</v>
      </c>
      <c r="F648" s="111">
        <v>3</v>
      </c>
      <c r="G648" s="133">
        <v>0.33333333333333331</v>
      </c>
      <c r="H648" s="111">
        <v>32</v>
      </c>
      <c r="I648" s="111">
        <v>1</v>
      </c>
      <c r="J648" s="111">
        <v>0.33333333333333331</v>
      </c>
      <c r="K648" s="111">
        <v>0.66666666666666663</v>
      </c>
      <c r="L648">
        <v>0</v>
      </c>
    </row>
    <row r="649" spans="1:12" x14ac:dyDescent="0.2">
      <c r="A649" s="111" t="s">
        <v>725</v>
      </c>
      <c r="B649" s="132">
        <v>31</v>
      </c>
      <c r="C649" s="111">
        <v>177.8</v>
      </c>
      <c r="D649" s="111">
        <v>70.306759999999997</v>
      </c>
      <c r="E649" s="111">
        <v>70</v>
      </c>
      <c r="F649" s="111">
        <v>3</v>
      </c>
      <c r="G649" s="133">
        <v>0</v>
      </c>
      <c r="H649" s="111">
        <v>46.333333333333336</v>
      </c>
      <c r="I649" s="111">
        <v>0.66666666666666663</v>
      </c>
      <c r="J649" s="111">
        <v>0.33333333333333331</v>
      </c>
      <c r="K649" s="111">
        <v>0.33333333333333331</v>
      </c>
      <c r="L649">
        <v>1</v>
      </c>
    </row>
    <row r="650" spans="1:12" x14ac:dyDescent="0.2">
      <c r="A650" s="111" t="s">
        <v>726</v>
      </c>
      <c r="B650" s="132" t="s">
        <v>1596</v>
      </c>
      <c r="C650" s="111">
        <v>182.88</v>
      </c>
      <c r="D650" s="111">
        <v>77.110640000000004</v>
      </c>
      <c r="E650" s="111">
        <v>73.842215999999993</v>
      </c>
      <c r="F650" s="111">
        <v>1</v>
      </c>
      <c r="G650" s="133">
        <v>0</v>
      </c>
      <c r="H650" s="111">
        <v>0</v>
      </c>
      <c r="I650" s="111">
        <v>0</v>
      </c>
      <c r="J650" s="111">
        <v>0</v>
      </c>
      <c r="K650" s="111">
        <v>0</v>
      </c>
      <c r="L650">
        <v>0</v>
      </c>
    </row>
    <row r="651" spans="1:12" x14ac:dyDescent="0.2">
      <c r="A651" s="111" t="s">
        <v>727</v>
      </c>
      <c r="B651" s="132">
        <v>32</v>
      </c>
      <c r="C651" s="111">
        <v>185.42</v>
      </c>
      <c r="D651" s="111">
        <v>83.914519999999996</v>
      </c>
      <c r="E651" s="111">
        <v>74.847294000000005</v>
      </c>
      <c r="F651" s="111">
        <v>1</v>
      </c>
      <c r="G651" s="133">
        <v>0</v>
      </c>
      <c r="H651" s="111">
        <v>4</v>
      </c>
      <c r="I651" s="111">
        <v>1</v>
      </c>
      <c r="J651" s="111">
        <v>0</v>
      </c>
      <c r="K651" s="111">
        <v>0</v>
      </c>
      <c r="L651">
        <v>0</v>
      </c>
    </row>
    <row r="652" spans="1:12" x14ac:dyDescent="0.2">
      <c r="A652" s="111" t="s">
        <v>728</v>
      </c>
      <c r="B652" s="132">
        <v>34</v>
      </c>
      <c r="C652" s="111">
        <v>160.02000000000001</v>
      </c>
      <c r="D652" s="111">
        <v>52.163080000000001</v>
      </c>
      <c r="E652" s="111">
        <v>63</v>
      </c>
      <c r="F652" s="111">
        <v>1</v>
      </c>
      <c r="G652" s="133">
        <v>0</v>
      </c>
      <c r="H652" s="111">
        <v>70</v>
      </c>
      <c r="I652" s="111">
        <v>0</v>
      </c>
      <c r="J652" s="111">
        <v>0</v>
      </c>
      <c r="K652" s="111">
        <v>0</v>
      </c>
      <c r="L652">
        <v>0</v>
      </c>
    </row>
    <row r="653" spans="1:12" x14ac:dyDescent="0.2">
      <c r="A653" s="111" t="s">
        <v>729</v>
      </c>
      <c r="B653" s="132">
        <v>25</v>
      </c>
      <c r="C653" s="111">
        <v>154.94</v>
      </c>
      <c r="D653" s="111">
        <v>61.234920000000002</v>
      </c>
      <c r="E653" s="111">
        <v>62</v>
      </c>
      <c r="F653" s="111">
        <v>7</v>
      </c>
      <c r="G653" s="133">
        <v>0.5714285714285714</v>
      </c>
      <c r="H653" s="111">
        <v>56.857142857142854</v>
      </c>
      <c r="I653" s="111">
        <v>1.8571428571428572</v>
      </c>
      <c r="J653" s="111">
        <v>0.5714285714285714</v>
      </c>
      <c r="K653" s="111">
        <v>2.4285714285714284</v>
      </c>
      <c r="L653">
        <v>0</v>
      </c>
    </row>
    <row r="654" spans="1:12" x14ac:dyDescent="0.2">
      <c r="A654" s="111" t="s">
        <v>730</v>
      </c>
      <c r="B654" s="132">
        <v>30</v>
      </c>
      <c r="C654" s="111">
        <v>167.64</v>
      </c>
      <c r="D654" s="111">
        <v>61.234920000000002</v>
      </c>
      <c r="E654" s="111">
        <v>66</v>
      </c>
      <c r="F654" s="111">
        <v>5</v>
      </c>
      <c r="G654" s="133">
        <v>0.2</v>
      </c>
      <c r="H654" s="111">
        <v>60</v>
      </c>
      <c r="I654" s="111">
        <v>0.2</v>
      </c>
      <c r="J654" s="111">
        <v>0.2</v>
      </c>
      <c r="K654" s="111">
        <v>0.6</v>
      </c>
      <c r="L654">
        <v>0</v>
      </c>
    </row>
    <row r="655" spans="1:12" x14ac:dyDescent="0.2">
      <c r="A655" s="111" t="s">
        <v>731</v>
      </c>
      <c r="B655" s="132">
        <v>33</v>
      </c>
      <c r="C655" s="111">
        <v>165.1</v>
      </c>
      <c r="D655" s="111">
        <v>52.163080000000001</v>
      </c>
      <c r="E655" s="111">
        <v>67</v>
      </c>
      <c r="F655" s="111">
        <v>2</v>
      </c>
      <c r="G655" s="133">
        <v>0.5</v>
      </c>
      <c r="H655" s="111">
        <v>32</v>
      </c>
      <c r="I655" s="111">
        <v>2</v>
      </c>
      <c r="J655" s="111">
        <v>0</v>
      </c>
      <c r="K655" s="111">
        <v>4</v>
      </c>
      <c r="L655">
        <v>0</v>
      </c>
    </row>
    <row r="656" spans="1:12" x14ac:dyDescent="0.2">
      <c r="A656" s="111" t="s">
        <v>732</v>
      </c>
      <c r="B656" s="132">
        <v>39</v>
      </c>
      <c r="C656" s="111">
        <v>170.18</v>
      </c>
      <c r="D656" s="111">
        <v>52.163080000000001</v>
      </c>
      <c r="E656" s="111">
        <v>68</v>
      </c>
      <c r="F656" s="111">
        <v>2</v>
      </c>
      <c r="G656" s="133">
        <v>0</v>
      </c>
      <c r="H656" s="111">
        <v>25</v>
      </c>
      <c r="I656" s="111">
        <v>0.5</v>
      </c>
      <c r="J656" s="111">
        <v>0.5</v>
      </c>
      <c r="K656" s="111">
        <v>1</v>
      </c>
      <c r="L656">
        <v>0</v>
      </c>
    </row>
    <row r="657" spans="1:12" x14ac:dyDescent="0.2">
      <c r="A657" s="111" t="s">
        <v>733</v>
      </c>
      <c r="B657" s="132">
        <v>30</v>
      </c>
      <c r="C657" s="111">
        <v>170.18</v>
      </c>
      <c r="D657" s="111">
        <v>65.770840000000007</v>
      </c>
      <c r="E657" s="111">
        <v>65</v>
      </c>
      <c r="F657" s="111">
        <v>1</v>
      </c>
      <c r="G657" s="133">
        <v>0</v>
      </c>
      <c r="H657" s="111">
        <v>21</v>
      </c>
      <c r="I657" s="111">
        <v>1</v>
      </c>
      <c r="J657" s="111">
        <v>0</v>
      </c>
      <c r="K657" s="111">
        <v>1</v>
      </c>
      <c r="L657">
        <v>0</v>
      </c>
    </row>
    <row r="658" spans="1:12" x14ac:dyDescent="0.2">
      <c r="A658" s="111" t="s">
        <v>734</v>
      </c>
      <c r="B658" s="132">
        <v>30</v>
      </c>
      <c r="C658" s="111">
        <v>175.26</v>
      </c>
      <c r="D658" s="111">
        <v>65.770840000000007</v>
      </c>
      <c r="E658" s="111">
        <v>71</v>
      </c>
      <c r="F658" s="111">
        <v>3</v>
      </c>
      <c r="G658" s="133">
        <v>0.33333333333333331</v>
      </c>
      <c r="H658" s="111">
        <v>31.333333333333332</v>
      </c>
      <c r="I658" s="111">
        <v>1</v>
      </c>
      <c r="J658" s="111">
        <v>0.33333333333333331</v>
      </c>
      <c r="K658" s="111">
        <v>0.33333333333333331</v>
      </c>
      <c r="L658">
        <v>0</v>
      </c>
    </row>
    <row r="659" spans="1:12" x14ac:dyDescent="0.2">
      <c r="A659" s="111" t="s">
        <v>1567</v>
      </c>
      <c r="B659" s="132">
        <v>29</v>
      </c>
      <c r="C659" s="111">
        <v>175.26</v>
      </c>
      <c r="D659" s="111">
        <v>65.770840000000007</v>
      </c>
      <c r="E659" s="111">
        <v>71</v>
      </c>
      <c r="F659" s="111">
        <v>6</v>
      </c>
      <c r="G659" s="133">
        <v>0.5</v>
      </c>
      <c r="H659" s="111">
        <v>36.666666666666664</v>
      </c>
      <c r="I659" s="111">
        <v>3.6666666666666665</v>
      </c>
      <c r="J659" s="111">
        <v>1</v>
      </c>
      <c r="K659" s="111">
        <v>4</v>
      </c>
      <c r="L659">
        <v>1</v>
      </c>
    </row>
    <row r="660" spans="1:12" x14ac:dyDescent="0.2">
      <c r="A660" s="111" t="s">
        <v>735</v>
      </c>
      <c r="B660" s="132">
        <v>33</v>
      </c>
      <c r="C660" s="111">
        <v>172.72</v>
      </c>
      <c r="D660" s="111">
        <v>70.306759999999997</v>
      </c>
      <c r="E660" s="111">
        <v>71</v>
      </c>
      <c r="F660" s="111">
        <v>21</v>
      </c>
      <c r="G660" s="133">
        <v>0.66666666666666663</v>
      </c>
      <c r="H660" s="111">
        <v>26.714285714285715</v>
      </c>
      <c r="I660" s="111">
        <v>1.4285714285714286</v>
      </c>
      <c r="J660" s="111">
        <v>1.7619047619047619</v>
      </c>
      <c r="K660" s="111">
        <v>1.7142857142857142</v>
      </c>
      <c r="L660">
        <v>1</v>
      </c>
    </row>
    <row r="661" spans="1:12" x14ac:dyDescent="0.2">
      <c r="A661" s="111" t="s">
        <v>736</v>
      </c>
      <c r="B661" s="132" t="s">
        <v>1596</v>
      </c>
      <c r="C661" s="111">
        <v>185.42</v>
      </c>
      <c r="D661" s="111">
        <v>97.522279999999995</v>
      </c>
      <c r="E661" s="111">
        <v>74.847294000000005</v>
      </c>
      <c r="F661" s="111">
        <v>1</v>
      </c>
      <c r="G661" s="133">
        <v>0</v>
      </c>
      <c r="H661" s="111">
        <v>3</v>
      </c>
      <c r="I661" s="111">
        <v>0</v>
      </c>
      <c r="J661" s="111">
        <v>0</v>
      </c>
      <c r="K661" s="111">
        <v>0</v>
      </c>
      <c r="L661">
        <v>1</v>
      </c>
    </row>
    <row r="662" spans="1:12" x14ac:dyDescent="0.2">
      <c r="A662" s="111" t="s">
        <v>737</v>
      </c>
      <c r="B662" s="132">
        <v>36</v>
      </c>
      <c r="C662" s="111">
        <v>185.42</v>
      </c>
      <c r="D662" s="111">
        <v>92.986360000000005</v>
      </c>
      <c r="E662" s="111">
        <v>79</v>
      </c>
      <c r="F662" s="111">
        <v>6</v>
      </c>
      <c r="G662" s="133">
        <v>0.66666666666666663</v>
      </c>
      <c r="H662" s="111">
        <v>30.5</v>
      </c>
      <c r="I662" s="111">
        <v>0.5</v>
      </c>
      <c r="J662" s="111">
        <v>0.16666666666666666</v>
      </c>
      <c r="K662" s="111">
        <v>0.16666666666666666</v>
      </c>
      <c r="L662">
        <v>0</v>
      </c>
    </row>
    <row r="663" spans="1:12" x14ac:dyDescent="0.2">
      <c r="A663" s="111" t="s">
        <v>738</v>
      </c>
      <c r="B663" s="132">
        <v>27</v>
      </c>
      <c r="C663" s="111">
        <v>162.56</v>
      </c>
      <c r="D663" s="111">
        <v>61.234920000000002</v>
      </c>
      <c r="E663" s="111">
        <v>68</v>
      </c>
      <c r="F663" s="111">
        <v>3</v>
      </c>
      <c r="G663" s="133">
        <v>1</v>
      </c>
      <c r="H663" s="111">
        <v>52</v>
      </c>
      <c r="I663" s="111">
        <v>1</v>
      </c>
      <c r="J663" s="111">
        <v>0</v>
      </c>
      <c r="K663" s="111">
        <v>0</v>
      </c>
      <c r="L663">
        <v>0</v>
      </c>
    </row>
    <row r="664" spans="1:12" x14ac:dyDescent="0.2">
      <c r="A664" s="111" t="s">
        <v>739</v>
      </c>
      <c r="B664" s="132" t="s">
        <v>1596</v>
      </c>
      <c r="C664" s="111">
        <v>182.88</v>
      </c>
      <c r="D664" s="111">
        <v>83.914519999999996</v>
      </c>
      <c r="E664" s="111">
        <v>72</v>
      </c>
      <c r="F664" s="111">
        <v>1</v>
      </c>
      <c r="G664" s="133">
        <v>0</v>
      </c>
      <c r="H664" s="111">
        <v>7</v>
      </c>
      <c r="I664" s="111">
        <v>1</v>
      </c>
      <c r="J664" s="111">
        <v>0</v>
      </c>
      <c r="K664" s="111">
        <v>1</v>
      </c>
      <c r="L664">
        <v>0</v>
      </c>
    </row>
    <row r="665" spans="1:12" x14ac:dyDescent="0.2">
      <c r="A665" s="111" t="s">
        <v>740</v>
      </c>
      <c r="B665" s="132">
        <v>28</v>
      </c>
      <c r="C665" s="111">
        <v>182.88</v>
      </c>
      <c r="D665" s="111">
        <v>77.110640000000004</v>
      </c>
      <c r="E665" s="111">
        <v>71</v>
      </c>
      <c r="F665" s="111">
        <v>4</v>
      </c>
      <c r="G665" s="133">
        <v>0.5</v>
      </c>
      <c r="H665" s="111">
        <v>49</v>
      </c>
      <c r="I665" s="111">
        <v>1.25</v>
      </c>
      <c r="J665" s="111">
        <v>0</v>
      </c>
      <c r="K665" s="111">
        <v>1</v>
      </c>
      <c r="L665">
        <v>0</v>
      </c>
    </row>
    <row r="666" spans="1:12" x14ac:dyDescent="0.2">
      <c r="A666" s="111" t="s">
        <v>741</v>
      </c>
      <c r="B666" s="132">
        <v>29</v>
      </c>
      <c r="C666" s="111">
        <v>167.64</v>
      </c>
      <c r="D666" s="111">
        <v>52.163080000000001</v>
      </c>
      <c r="E666" s="111">
        <v>65</v>
      </c>
      <c r="F666" s="111">
        <v>5</v>
      </c>
      <c r="G666" s="133">
        <v>1</v>
      </c>
      <c r="H666" s="111">
        <v>96.6</v>
      </c>
      <c r="I666" s="111">
        <v>0</v>
      </c>
      <c r="J666" s="111">
        <v>0</v>
      </c>
      <c r="K666" s="111">
        <v>0</v>
      </c>
      <c r="L666">
        <v>0</v>
      </c>
    </row>
    <row r="667" spans="1:12" x14ac:dyDescent="0.2">
      <c r="A667" s="111" t="s">
        <v>742</v>
      </c>
      <c r="B667" s="132">
        <v>30</v>
      </c>
      <c r="C667" s="111">
        <v>167.64</v>
      </c>
      <c r="D667" s="111">
        <v>52.163080000000001</v>
      </c>
      <c r="E667" s="111">
        <v>65</v>
      </c>
      <c r="F667" s="111">
        <v>3</v>
      </c>
      <c r="G667" s="133">
        <v>0.66666666666666663</v>
      </c>
      <c r="H667" s="111">
        <v>70</v>
      </c>
      <c r="I667" s="111">
        <v>1.6666666666666667</v>
      </c>
      <c r="J667" s="111">
        <v>0</v>
      </c>
      <c r="K667" s="111">
        <v>1.6666666666666667</v>
      </c>
      <c r="L667">
        <v>0</v>
      </c>
    </row>
    <row r="668" spans="1:12" x14ac:dyDescent="0.2">
      <c r="A668" s="111" t="s">
        <v>743</v>
      </c>
      <c r="B668" s="132">
        <v>45</v>
      </c>
      <c r="C668" s="111">
        <v>185.42</v>
      </c>
      <c r="D668" s="111">
        <v>70.306759999999997</v>
      </c>
      <c r="E668" s="111">
        <v>74.847294000000005</v>
      </c>
      <c r="F668" s="111">
        <v>1</v>
      </c>
      <c r="G668" s="133">
        <v>0</v>
      </c>
      <c r="H668" s="111">
        <v>1</v>
      </c>
      <c r="I668" s="111">
        <v>0</v>
      </c>
      <c r="J668" s="111">
        <v>0</v>
      </c>
      <c r="K668" s="111">
        <v>0</v>
      </c>
      <c r="L668">
        <v>0</v>
      </c>
    </row>
    <row r="669" spans="1:12" x14ac:dyDescent="0.2">
      <c r="A669" s="111" t="s">
        <v>744</v>
      </c>
      <c r="B669" s="132">
        <v>45</v>
      </c>
      <c r="C669" s="111">
        <v>167.64</v>
      </c>
      <c r="D669" s="111">
        <v>70.306759999999997</v>
      </c>
      <c r="E669" s="111">
        <v>67.811747999999994</v>
      </c>
      <c r="F669" s="111">
        <v>1</v>
      </c>
      <c r="G669" s="133">
        <v>0</v>
      </c>
      <c r="H669" s="111">
        <v>5</v>
      </c>
      <c r="I669" s="111">
        <v>1</v>
      </c>
      <c r="J669" s="111">
        <v>0</v>
      </c>
      <c r="K669" s="111">
        <v>0</v>
      </c>
      <c r="L669">
        <v>0</v>
      </c>
    </row>
    <row r="670" spans="1:12" x14ac:dyDescent="0.2">
      <c r="A670" s="111" t="s">
        <v>745</v>
      </c>
      <c r="B670" s="132">
        <v>30</v>
      </c>
      <c r="C670" s="111">
        <v>180.34</v>
      </c>
      <c r="D670" s="111">
        <v>77.110640000000004</v>
      </c>
      <c r="E670" s="111">
        <v>73</v>
      </c>
      <c r="F670" s="111">
        <v>2</v>
      </c>
      <c r="G670" s="133">
        <v>0</v>
      </c>
      <c r="H670" s="111">
        <v>12.5</v>
      </c>
      <c r="I670" s="111">
        <v>0.5</v>
      </c>
      <c r="J670" s="111">
        <v>1</v>
      </c>
      <c r="K670" s="111">
        <v>0.5</v>
      </c>
      <c r="L670">
        <v>0</v>
      </c>
    </row>
    <row r="671" spans="1:12" x14ac:dyDescent="0.2">
      <c r="A671" s="111" t="s">
        <v>746</v>
      </c>
      <c r="B671" s="132">
        <v>27</v>
      </c>
      <c r="C671" s="111">
        <v>172.72</v>
      </c>
      <c r="D671" s="111">
        <v>70.306759999999997</v>
      </c>
      <c r="E671" s="111">
        <v>69</v>
      </c>
      <c r="F671" s="111">
        <v>1</v>
      </c>
      <c r="G671" s="133">
        <v>1</v>
      </c>
      <c r="H671" s="111">
        <v>49</v>
      </c>
      <c r="I671" s="111">
        <v>0</v>
      </c>
      <c r="J671" s="111">
        <v>0</v>
      </c>
      <c r="K671" s="111">
        <v>0</v>
      </c>
      <c r="L671">
        <v>0</v>
      </c>
    </row>
    <row r="672" spans="1:12" x14ac:dyDescent="0.2">
      <c r="A672" s="111" t="s">
        <v>747</v>
      </c>
      <c r="B672" s="132">
        <v>25</v>
      </c>
      <c r="C672" s="111">
        <v>167.64</v>
      </c>
      <c r="D672" s="111">
        <v>56.698999999999998</v>
      </c>
      <c r="E672" s="111">
        <v>68</v>
      </c>
      <c r="F672" s="111">
        <v>3</v>
      </c>
      <c r="G672" s="133">
        <v>0.33333333333333331</v>
      </c>
      <c r="H672" s="111">
        <v>44.333333333333336</v>
      </c>
      <c r="I672" s="111">
        <v>0.66666666666666663</v>
      </c>
      <c r="J672" s="111">
        <v>0.33333333333333331</v>
      </c>
      <c r="K672" s="111">
        <v>1.6666666666666667</v>
      </c>
      <c r="L672">
        <v>0</v>
      </c>
    </row>
    <row r="673" spans="1:12" x14ac:dyDescent="0.2">
      <c r="A673" s="111" t="s">
        <v>748</v>
      </c>
      <c r="B673" s="132">
        <v>31</v>
      </c>
      <c r="C673" s="111">
        <v>170.18</v>
      </c>
      <c r="D673" s="111">
        <v>52.163080000000001</v>
      </c>
      <c r="E673" s="111">
        <v>63</v>
      </c>
      <c r="F673" s="111">
        <v>1</v>
      </c>
      <c r="G673" s="133">
        <v>0</v>
      </c>
      <c r="H673" s="111">
        <v>29</v>
      </c>
      <c r="I673" s="111">
        <v>0</v>
      </c>
      <c r="J673" s="111">
        <v>0</v>
      </c>
      <c r="K673" s="111">
        <v>0</v>
      </c>
      <c r="L673">
        <v>0</v>
      </c>
    </row>
    <row r="674" spans="1:12" x14ac:dyDescent="0.2">
      <c r="A674" s="111" t="s">
        <v>749</v>
      </c>
      <c r="B674" s="132">
        <v>33</v>
      </c>
      <c r="C674" s="111">
        <v>172.72</v>
      </c>
      <c r="D674" s="111">
        <v>70.306759999999997</v>
      </c>
      <c r="E674" s="111">
        <v>69.821904000000004</v>
      </c>
      <c r="F674" s="111">
        <v>2</v>
      </c>
      <c r="G674" s="133">
        <v>0</v>
      </c>
      <c r="H674" s="111">
        <v>20</v>
      </c>
      <c r="I674" s="111">
        <v>0.5</v>
      </c>
      <c r="J674" s="111">
        <v>0</v>
      </c>
      <c r="K674" s="111">
        <v>0</v>
      </c>
      <c r="L674">
        <v>0</v>
      </c>
    </row>
    <row r="675" spans="1:12" x14ac:dyDescent="0.2">
      <c r="A675" s="111" t="s">
        <v>750</v>
      </c>
      <c r="B675" s="132">
        <v>58</v>
      </c>
      <c r="C675" s="111">
        <v>185.42</v>
      </c>
      <c r="D675" s="111">
        <v>117.93392</v>
      </c>
      <c r="E675" s="111">
        <v>74.847294000000005</v>
      </c>
      <c r="F675" s="111">
        <v>1</v>
      </c>
      <c r="G675" s="133">
        <v>0</v>
      </c>
      <c r="H675" s="111">
        <v>1</v>
      </c>
      <c r="I675" s="111">
        <v>0</v>
      </c>
      <c r="J675" s="111">
        <v>0</v>
      </c>
      <c r="K675" s="111">
        <v>0</v>
      </c>
      <c r="L675">
        <v>1</v>
      </c>
    </row>
    <row r="676" spans="1:12" x14ac:dyDescent="0.2">
      <c r="A676" s="111" t="s">
        <v>751</v>
      </c>
      <c r="B676" s="132">
        <v>39</v>
      </c>
      <c r="C676" s="111">
        <v>182.88</v>
      </c>
      <c r="D676" s="111">
        <v>83.914519999999996</v>
      </c>
      <c r="E676" s="111">
        <v>75</v>
      </c>
      <c r="F676" s="111">
        <v>9</v>
      </c>
      <c r="G676" s="133">
        <v>0.22222222222222221</v>
      </c>
      <c r="H676" s="111">
        <v>13.222222222222221</v>
      </c>
      <c r="I676" s="111">
        <v>1.3333333333333333</v>
      </c>
      <c r="J676" s="111">
        <v>1.5555555555555556</v>
      </c>
      <c r="K676" s="111">
        <v>1.4444444444444444</v>
      </c>
      <c r="L676">
        <v>0</v>
      </c>
    </row>
    <row r="677" spans="1:12" x14ac:dyDescent="0.2">
      <c r="A677" s="111" t="s">
        <v>752</v>
      </c>
      <c r="B677" s="132">
        <v>31</v>
      </c>
      <c r="C677" s="111">
        <v>175.26</v>
      </c>
      <c r="D677" s="111">
        <v>70.306759999999997</v>
      </c>
      <c r="E677" s="111">
        <v>72</v>
      </c>
      <c r="F677" s="111">
        <v>2</v>
      </c>
      <c r="G677" s="133">
        <v>0.5</v>
      </c>
      <c r="H677" s="111">
        <v>23</v>
      </c>
      <c r="I677" s="111">
        <v>3</v>
      </c>
      <c r="J677" s="111">
        <v>1</v>
      </c>
      <c r="K677" s="111">
        <v>0.5</v>
      </c>
      <c r="L677">
        <v>0</v>
      </c>
    </row>
    <row r="678" spans="1:12" x14ac:dyDescent="0.2">
      <c r="A678" s="111" t="s">
        <v>753</v>
      </c>
      <c r="B678" s="132">
        <v>38</v>
      </c>
      <c r="C678" s="111">
        <v>167.64</v>
      </c>
      <c r="D678" s="111">
        <v>70.306759999999997</v>
      </c>
      <c r="E678" s="111">
        <v>67.811747999999994</v>
      </c>
      <c r="F678" s="111">
        <v>1</v>
      </c>
      <c r="G678" s="133">
        <v>0</v>
      </c>
      <c r="H678" s="111">
        <v>20</v>
      </c>
      <c r="I678" s="111">
        <v>0</v>
      </c>
      <c r="J678" s="111">
        <v>0</v>
      </c>
      <c r="K678" s="111">
        <v>0</v>
      </c>
      <c r="L678">
        <v>0</v>
      </c>
    </row>
    <row r="679" spans="1:12" x14ac:dyDescent="0.2">
      <c r="A679" s="111" t="s">
        <v>754</v>
      </c>
      <c r="B679" s="132">
        <v>32</v>
      </c>
      <c r="C679" s="111">
        <v>177.8</v>
      </c>
      <c r="D679" s="111">
        <v>70.306759999999997</v>
      </c>
      <c r="E679" s="111">
        <v>71</v>
      </c>
      <c r="F679" s="111">
        <v>20</v>
      </c>
      <c r="G679" s="133">
        <v>0.6</v>
      </c>
      <c r="H679" s="111">
        <v>19.45</v>
      </c>
      <c r="I679" s="111">
        <v>1.2</v>
      </c>
      <c r="J679" s="111">
        <v>1.3</v>
      </c>
      <c r="K679" s="111">
        <v>2.6</v>
      </c>
      <c r="L679">
        <v>0</v>
      </c>
    </row>
    <row r="680" spans="1:12" x14ac:dyDescent="0.2">
      <c r="A680" s="111" t="s">
        <v>755</v>
      </c>
      <c r="B680" s="132">
        <v>32</v>
      </c>
      <c r="C680" s="111">
        <v>182.88</v>
      </c>
      <c r="D680" s="111">
        <v>77.110640000000004</v>
      </c>
      <c r="E680" s="111">
        <v>73</v>
      </c>
      <c r="F680" s="111">
        <v>1</v>
      </c>
      <c r="G680" s="133">
        <v>0</v>
      </c>
      <c r="H680" s="111">
        <v>23</v>
      </c>
      <c r="I680" s="111">
        <v>0</v>
      </c>
      <c r="J680" s="111">
        <v>0</v>
      </c>
      <c r="K680" s="111">
        <v>1</v>
      </c>
      <c r="L680">
        <v>0</v>
      </c>
    </row>
    <row r="681" spans="1:12" x14ac:dyDescent="0.2">
      <c r="A681" s="111" t="s">
        <v>756</v>
      </c>
      <c r="B681" s="132" t="s">
        <v>1596</v>
      </c>
      <c r="C681" s="111">
        <v>180.34</v>
      </c>
      <c r="D681" s="111">
        <v>88.45044</v>
      </c>
      <c r="E681" s="111">
        <v>72.837137999999996</v>
      </c>
      <c r="F681" s="111">
        <v>2</v>
      </c>
      <c r="G681" s="133">
        <v>0.5</v>
      </c>
      <c r="H681" s="111">
        <v>9.5</v>
      </c>
      <c r="I681" s="111">
        <v>1.5</v>
      </c>
      <c r="J681" s="111">
        <v>0</v>
      </c>
      <c r="K681" s="111">
        <v>3.5</v>
      </c>
      <c r="L681">
        <v>1</v>
      </c>
    </row>
    <row r="682" spans="1:12" x14ac:dyDescent="0.2">
      <c r="A682" s="111" t="s">
        <v>757</v>
      </c>
      <c r="B682" s="132" t="s">
        <v>1596</v>
      </c>
      <c r="C682" s="111">
        <v>185.42</v>
      </c>
      <c r="D682" s="111">
        <v>95.254320000000007</v>
      </c>
      <c r="E682" s="111">
        <v>74.847294000000005</v>
      </c>
      <c r="F682" s="111">
        <v>1</v>
      </c>
      <c r="G682" s="133">
        <v>0</v>
      </c>
      <c r="H682" s="111">
        <v>4</v>
      </c>
      <c r="I682" s="111">
        <v>0</v>
      </c>
      <c r="J682" s="111">
        <v>1</v>
      </c>
      <c r="K682" s="111">
        <v>0</v>
      </c>
      <c r="L682">
        <v>1</v>
      </c>
    </row>
    <row r="683" spans="1:12" x14ac:dyDescent="0.2">
      <c r="A683" s="111" t="s">
        <v>758</v>
      </c>
      <c r="B683" s="132">
        <v>31</v>
      </c>
      <c r="C683" s="111">
        <v>177.8</v>
      </c>
      <c r="D683" s="111">
        <v>70.306759999999997</v>
      </c>
      <c r="E683" s="111">
        <v>72</v>
      </c>
      <c r="F683" s="111">
        <v>7</v>
      </c>
      <c r="G683" s="133">
        <v>0.5714285714285714</v>
      </c>
      <c r="H683" s="111">
        <v>30.571428571428573</v>
      </c>
      <c r="I683" s="111">
        <v>0</v>
      </c>
      <c r="J683" s="111">
        <v>1.1428571428571428</v>
      </c>
      <c r="K683" s="111">
        <v>0.14285714285714285</v>
      </c>
      <c r="L683">
        <v>0</v>
      </c>
    </row>
    <row r="684" spans="1:12" x14ac:dyDescent="0.2">
      <c r="A684" s="111" t="s">
        <v>759</v>
      </c>
      <c r="B684" s="132">
        <v>34</v>
      </c>
      <c r="C684" s="111">
        <v>182.88</v>
      </c>
      <c r="D684" s="111">
        <v>83.914519999999996</v>
      </c>
      <c r="E684" s="111">
        <v>70</v>
      </c>
      <c r="F684" s="111">
        <v>12</v>
      </c>
      <c r="G684" s="133">
        <v>0.41666666666666669</v>
      </c>
      <c r="H684" s="111">
        <v>13.75</v>
      </c>
      <c r="I684" s="111">
        <v>1.0833333333333333</v>
      </c>
      <c r="J684" s="111">
        <v>0.16666666666666666</v>
      </c>
      <c r="K684" s="111">
        <v>1.0833333333333333</v>
      </c>
      <c r="L684">
        <v>1</v>
      </c>
    </row>
    <row r="685" spans="1:12" x14ac:dyDescent="0.2">
      <c r="A685" s="111" t="s">
        <v>760</v>
      </c>
      <c r="B685" s="132">
        <v>39</v>
      </c>
      <c r="C685" s="111">
        <v>182.88</v>
      </c>
      <c r="D685" s="111">
        <v>90.264808000000002</v>
      </c>
      <c r="E685" s="111">
        <v>73.842215999999993</v>
      </c>
      <c r="F685" s="111">
        <v>1</v>
      </c>
      <c r="G685" s="133">
        <v>0</v>
      </c>
      <c r="H685" s="111">
        <v>8</v>
      </c>
      <c r="I685" s="111">
        <v>0</v>
      </c>
      <c r="J685" s="111">
        <v>4</v>
      </c>
      <c r="K685" s="111">
        <v>2</v>
      </c>
      <c r="L685">
        <v>0</v>
      </c>
    </row>
    <row r="686" spans="1:12" x14ac:dyDescent="0.2">
      <c r="A686" s="111" t="s">
        <v>761</v>
      </c>
      <c r="B686" s="132">
        <v>46</v>
      </c>
      <c r="C686" s="111">
        <v>162.56</v>
      </c>
      <c r="D686" s="111">
        <v>107.047712</v>
      </c>
      <c r="E686" s="111">
        <v>65.801591999999999</v>
      </c>
      <c r="F686" s="111">
        <v>1</v>
      </c>
      <c r="G686" s="133">
        <v>0</v>
      </c>
      <c r="H686" s="111">
        <v>0</v>
      </c>
      <c r="I686" s="111">
        <v>1</v>
      </c>
      <c r="J686" s="111">
        <v>1</v>
      </c>
      <c r="K686" s="111">
        <v>1</v>
      </c>
      <c r="L686">
        <v>0</v>
      </c>
    </row>
    <row r="687" spans="1:12" x14ac:dyDescent="0.2">
      <c r="A687" s="111" t="s">
        <v>762</v>
      </c>
      <c r="B687" s="132">
        <v>29</v>
      </c>
      <c r="C687" s="111">
        <v>167.64</v>
      </c>
      <c r="D687" s="111">
        <v>61.234920000000002</v>
      </c>
      <c r="E687" s="111">
        <v>65</v>
      </c>
      <c r="F687" s="111">
        <v>3</v>
      </c>
      <c r="G687" s="133">
        <v>0</v>
      </c>
      <c r="H687" s="111">
        <v>44.666666666666664</v>
      </c>
      <c r="I687" s="111">
        <v>0.33333333333333331</v>
      </c>
      <c r="J687" s="111">
        <v>1.3333333333333333</v>
      </c>
      <c r="K687" s="111">
        <v>0.66666666666666663</v>
      </c>
      <c r="L687">
        <v>0</v>
      </c>
    </row>
    <row r="688" spans="1:12" x14ac:dyDescent="0.2">
      <c r="A688" s="111" t="s">
        <v>763</v>
      </c>
      <c r="B688" s="132">
        <v>34</v>
      </c>
      <c r="C688" s="111">
        <v>170.18</v>
      </c>
      <c r="D688" s="111">
        <v>65.770840000000007</v>
      </c>
      <c r="E688" s="111">
        <v>70</v>
      </c>
      <c r="F688" s="111">
        <v>16</v>
      </c>
      <c r="G688" s="133">
        <v>0.5</v>
      </c>
      <c r="H688" s="111">
        <v>19.1875</v>
      </c>
      <c r="I688" s="111">
        <v>1.9375</v>
      </c>
      <c r="J688" s="111">
        <v>1.5</v>
      </c>
      <c r="K688" s="111">
        <v>1.4375</v>
      </c>
      <c r="L688">
        <v>0</v>
      </c>
    </row>
    <row r="689" spans="1:12" x14ac:dyDescent="0.2">
      <c r="A689" s="111" t="s">
        <v>764</v>
      </c>
      <c r="B689" s="132">
        <v>34</v>
      </c>
      <c r="C689" s="111">
        <v>182.88</v>
      </c>
      <c r="D689" s="111">
        <v>83.914519999999996</v>
      </c>
      <c r="E689" s="111">
        <v>73.842215999999993</v>
      </c>
      <c r="F689" s="111">
        <v>2</v>
      </c>
      <c r="G689" s="133">
        <v>0</v>
      </c>
      <c r="H689" s="111">
        <v>5.5</v>
      </c>
      <c r="I689" s="111">
        <v>0.5</v>
      </c>
      <c r="J689" s="111">
        <v>0</v>
      </c>
      <c r="K689" s="111">
        <v>0</v>
      </c>
      <c r="L689">
        <v>0</v>
      </c>
    </row>
    <row r="690" spans="1:12" x14ac:dyDescent="0.2">
      <c r="A690" s="111" t="s">
        <v>765</v>
      </c>
      <c r="B690" s="132">
        <v>39</v>
      </c>
      <c r="C690" s="111">
        <v>170.18</v>
      </c>
      <c r="D690" s="111">
        <v>70.306759999999997</v>
      </c>
      <c r="E690" s="111">
        <v>68.816826000000006</v>
      </c>
      <c r="F690" s="111">
        <v>2</v>
      </c>
      <c r="G690" s="133">
        <v>0</v>
      </c>
      <c r="H690" s="111">
        <v>0</v>
      </c>
      <c r="I690" s="111">
        <v>0</v>
      </c>
      <c r="J690" s="111">
        <v>0</v>
      </c>
      <c r="K690" s="111">
        <v>0</v>
      </c>
      <c r="L690">
        <v>0</v>
      </c>
    </row>
    <row r="691" spans="1:12" x14ac:dyDescent="0.2">
      <c r="A691" s="111" t="s">
        <v>766</v>
      </c>
      <c r="B691" s="132">
        <v>35</v>
      </c>
      <c r="C691" s="111">
        <v>185.42</v>
      </c>
      <c r="D691" s="111">
        <v>83.914519999999996</v>
      </c>
      <c r="E691" s="111">
        <v>75</v>
      </c>
      <c r="F691" s="111">
        <v>10</v>
      </c>
      <c r="G691" s="133">
        <v>0.3</v>
      </c>
      <c r="H691" s="111">
        <v>56.6</v>
      </c>
      <c r="I691" s="111">
        <v>0.5</v>
      </c>
      <c r="J691" s="111">
        <v>0</v>
      </c>
      <c r="K691" s="111">
        <v>0.4</v>
      </c>
      <c r="L691">
        <v>0</v>
      </c>
    </row>
    <row r="692" spans="1:12" x14ac:dyDescent="0.2">
      <c r="A692" s="111" t="s">
        <v>767</v>
      </c>
      <c r="B692" s="132">
        <v>28</v>
      </c>
      <c r="C692" s="111">
        <v>170.18</v>
      </c>
      <c r="D692" s="111">
        <v>65.770840000000007</v>
      </c>
      <c r="E692" s="111">
        <v>68.816826000000006</v>
      </c>
      <c r="F692" s="111">
        <v>2</v>
      </c>
      <c r="G692" s="133">
        <v>0</v>
      </c>
      <c r="H692" s="111">
        <v>22</v>
      </c>
      <c r="I692" s="111">
        <v>0</v>
      </c>
      <c r="J692" s="111">
        <v>0.5</v>
      </c>
      <c r="K692" s="111">
        <v>0</v>
      </c>
      <c r="L692">
        <v>0</v>
      </c>
    </row>
    <row r="693" spans="1:12" x14ac:dyDescent="0.2">
      <c r="A693" s="111" t="s">
        <v>768</v>
      </c>
      <c r="B693" s="132">
        <v>46</v>
      </c>
      <c r="C693" s="111">
        <v>180.34</v>
      </c>
      <c r="D693" s="111">
        <v>70.306759999999997</v>
      </c>
      <c r="E693" s="111">
        <v>72.837137999999996</v>
      </c>
      <c r="F693" s="111">
        <v>1</v>
      </c>
      <c r="G693" s="133">
        <v>0</v>
      </c>
      <c r="H693" s="111">
        <v>3</v>
      </c>
      <c r="I693" s="111">
        <v>0</v>
      </c>
      <c r="J693" s="111">
        <v>0</v>
      </c>
      <c r="K693" s="111">
        <v>0</v>
      </c>
      <c r="L693">
        <v>0</v>
      </c>
    </row>
    <row r="694" spans="1:12" x14ac:dyDescent="0.2">
      <c r="A694" s="111" t="s">
        <v>769</v>
      </c>
      <c r="B694" s="132">
        <v>30</v>
      </c>
      <c r="C694" s="111">
        <v>177.8</v>
      </c>
      <c r="D694" s="111">
        <v>61.234920000000002</v>
      </c>
      <c r="E694" s="111">
        <v>73</v>
      </c>
      <c r="F694" s="111">
        <v>1</v>
      </c>
      <c r="G694" s="133">
        <v>0</v>
      </c>
      <c r="H694" s="111">
        <v>15</v>
      </c>
      <c r="I694" s="111">
        <v>1</v>
      </c>
      <c r="J694" s="111">
        <v>0</v>
      </c>
      <c r="K694" s="111">
        <v>0</v>
      </c>
      <c r="L694">
        <v>0</v>
      </c>
    </row>
    <row r="695" spans="1:12" x14ac:dyDescent="0.2">
      <c r="A695" s="111" t="s">
        <v>770</v>
      </c>
      <c r="B695" s="132">
        <v>39</v>
      </c>
      <c r="C695" s="111">
        <v>187.96</v>
      </c>
      <c r="D695" s="111">
        <v>90.718400000000003</v>
      </c>
      <c r="E695" s="111">
        <v>75.852372000000003</v>
      </c>
      <c r="F695" s="111">
        <v>1</v>
      </c>
      <c r="G695" s="133">
        <v>0</v>
      </c>
      <c r="H695" s="111">
        <v>17</v>
      </c>
      <c r="I695" s="111">
        <v>1</v>
      </c>
      <c r="J695" s="111">
        <v>2</v>
      </c>
      <c r="K695" s="111">
        <v>1</v>
      </c>
      <c r="L695">
        <v>0</v>
      </c>
    </row>
    <row r="696" spans="1:12" x14ac:dyDescent="0.2">
      <c r="A696" s="111" t="s">
        <v>771</v>
      </c>
      <c r="B696" s="132">
        <v>30</v>
      </c>
      <c r="C696" s="111">
        <v>172.72</v>
      </c>
      <c r="D696" s="111">
        <v>61.234920000000002</v>
      </c>
      <c r="E696" s="111">
        <v>68</v>
      </c>
      <c r="F696" s="111">
        <v>5</v>
      </c>
      <c r="G696" s="133">
        <v>0.2</v>
      </c>
      <c r="H696" s="111">
        <v>13.4</v>
      </c>
      <c r="I696" s="111">
        <v>0</v>
      </c>
      <c r="J696" s="111">
        <v>1.8</v>
      </c>
      <c r="K696" s="111">
        <v>0.8</v>
      </c>
      <c r="L696">
        <v>0</v>
      </c>
    </row>
    <row r="697" spans="1:12" x14ac:dyDescent="0.2">
      <c r="A697" s="111" t="s">
        <v>772</v>
      </c>
      <c r="B697" s="132">
        <v>37</v>
      </c>
      <c r="C697" s="111">
        <v>177.8</v>
      </c>
      <c r="D697" s="111">
        <v>70.306759999999997</v>
      </c>
      <c r="E697" s="111">
        <v>72</v>
      </c>
      <c r="F697" s="111">
        <v>5</v>
      </c>
      <c r="G697" s="133">
        <v>0</v>
      </c>
      <c r="H697" s="111">
        <v>19.8</v>
      </c>
      <c r="I697" s="111">
        <v>0.4</v>
      </c>
      <c r="J697" s="111">
        <v>0.6</v>
      </c>
      <c r="K697" s="111">
        <v>0.6</v>
      </c>
      <c r="L697">
        <v>0</v>
      </c>
    </row>
    <row r="698" spans="1:12" x14ac:dyDescent="0.2">
      <c r="A698" s="111" t="s">
        <v>773</v>
      </c>
      <c r="B698" s="132" t="s">
        <v>1596</v>
      </c>
      <c r="C698" s="111">
        <v>175.26</v>
      </c>
      <c r="D698" s="111">
        <v>106.59412</v>
      </c>
      <c r="E698" s="111">
        <v>70.826982000000001</v>
      </c>
      <c r="F698" s="111">
        <v>1</v>
      </c>
      <c r="G698" s="133">
        <v>0</v>
      </c>
      <c r="H698" s="111">
        <v>5</v>
      </c>
      <c r="I698" s="111">
        <v>0</v>
      </c>
      <c r="J698" s="111">
        <v>0</v>
      </c>
      <c r="K698" s="111">
        <v>0</v>
      </c>
      <c r="L698">
        <v>0</v>
      </c>
    </row>
    <row r="699" spans="1:12" x14ac:dyDescent="0.2">
      <c r="A699" s="111" t="s">
        <v>774</v>
      </c>
      <c r="B699" s="132">
        <v>33</v>
      </c>
      <c r="C699" s="111">
        <v>180.34</v>
      </c>
      <c r="D699" s="111">
        <v>70.306759999999997</v>
      </c>
      <c r="E699" s="111">
        <v>72</v>
      </c>
      <c r="F699" s="111">
        <v>3</v>
      </c>
      <c r="G699" s="133">
        <v>0.33333333333333331</v>
      </c>
      <c r="H699" s="111">
        <v>31</v>
      </c>
      <c r="I699" s="111">
        <v>0.66666666666666663</v>
      </c>
      <c r="J699" s="111">
        <v>0</v>
      </c>
      <c r="K699" s="111">
        <v>0.66666666666666663</v>
      </c>
      <c r="L699">
        <v>0</v>
      </c>
    </row>
    <row r="700" spans="1:12" x14ac:dyDescent="0.2">
      <c r="A700" s="111" t="s">
        <v>775</v>
      </c>
      <c r="B700" s="132">
        <v>32</v>
      </c>
      <c r="C700" s="111">
        <v>175.26</v>
      </c>
      <c r="D700" s="111">
        <v>70.306759999999997</v>
      </c>
      <c r="E700" s="111">
        <v>73</v>
      </c>
      <c r="F700" s="111">
        <v>2</v>
      </c>
      <c r="G700" s="133">
        <v>0</v>
      </c>
      <c r="H700" s="111">
        <v>33.5</v>
      </c>
      <c r="I700" s="111">
        <v>1</v>
      </c>
      <c r="J700" s="111">
        <v>0</v>
      </c>
      <c r="K700" s="111">
        <v>1</v>
      </c>
      <c r="L700">
        <v>1</v>
      </c>
    </row>
    <row r="701" spans="1:12" x14ac:dyDescent="0.2">
      <c r="A701" s="111" t="s">
        <v>776</v>
      </c>
      <c r="B701" s="132">
        <v>32</v>
      </c>
      <c r="C701" s="111">
        <v>160.02000000000001</v>
      </c>
      <c r="D701" s="111">
        <v>61.234920000000002</v>
      </c>
      <c r="E701" s="111">
        <v>66</v>
      </c>
      <c r="F701" s="111">
        <v>8</v>
      </c>
      <c r="G701" s="133">
        <v>0.75</v>
      </c>
      <c r="H701" s="111">
        <v>40.125</v>
      </c>
      <c r="I701" s="111">
        <v>0.875</v>
      </c>
      <c r="J701" s="111">
        <v>0</v>
      </c>
      <c r="K701" s="111">
        <v>0.125</v>
      </c>
      <c r="L701">
        <v>0</v>
      </c>
    </row>
    <row r="702" spans="1:12" x14ac:dyDescent="0.2">
      <c r="A702" s="111" t="s">
        <v>777</v>
      </c>
      <c r="B702" s="132">
        <v>37</v>
      </c>
      <c r="C702" s="111">
        <v>175.26</v>
      </c>
      <c r="D702" s="111">
        <v>70.306759999999997</v>
      </c>
      <c r="E702" s="111">
        <v>69</v>
      </c>
      <c r="F702" s="111">
        <v>3</v>
      </c>
      <c r="G702" s="133">
        <v>0.33333333333333331</v>
      </c>
      <c r="H702" s="111">
        <v>15.666666666666666</v>
      </c>
      <c r="I702" s="111">
        <v>1.6666666666666667</v>
      </c>
      <c r="J702" s="111">
        <v>2</v>
      </c>
      <c r="K702" s="111">
        <v>2.3333333333333335</v>
      </c>
      <c r="L702">
        <v>0</v>
      </c>
    </row>
    <row r="703" spans="1:12" x14ac:dyDescent="0.2">
      <c r="A703" s="111" t="s">
        <v>778</v>
      </c>
      <c r="B703" s="132">
        <v>44</v>
      </c>
      <c r="C703" s="111">
        <v>175.26</v>
      </c>
      <c r="D703" s="111">
        <v>70.306759999999997</v>
      </c>
      <c r="E703" s="111">
        <v>70.826982000000001</v>
      </c>
      <c r="F703" s="111">
        <v>2</v>
      </c>
      <c r="G703" s="133">
        <v>0</v>
      </c>
      <c r="H703" s="111">
        <v>22.5</v>
      </c>
      <c r="I703" s="111">
        <v>0</v>
      </c>
      <c r="J703" s="111">
        <v>1</v>
      </c>
      <c r="K703" s="111">
        <v>0</v>
      </c>
      <c r="L703">
        <v>1</v>
      </c>
    </row>
    <row r="704" spans="1:12" x14ac:dyDescent="0.2">
      <c r="A704" s="111" t="s">
        <v>779</v>
      </c>
      <c r="B704" s="132">
        <v>29</v>
      </c>
      <c r="C704" s="111">
        <v>185.42</v>
      </c>
      <c r="D704" s="111">
        <v>77.110640000000004</v>
      </c>
      <c r="E704" s="111">
        <v>75</v>
      </c>
      <c r="F704" s="111">
        <v>9</v>
      </c>
      <c r="G704" s="133">
        <v>0.77777777777777779</v>
      </c>
      <c r="H704" s="111">
        <v>45.555555555555557</v>
      </c>
      <c r="I704" s="111">
        <v>2.3333333333333335</v>
      </c>
      <c r="J704" s="111">
        <v>0.77777777777777779</v>
      </c>
      <c r="K704" s="111">
        <v>1.7777777777777777</v>
      </c>
      <c r="L704">
        <v>0</v>
      </c>
    </row>
    <row r="705" spans="1:12" x14ac:dyDescent="0.2">
      <c r="A705" s="111" t="s">
        <v>780</v>
      </c>
      <c r="B705" s="132">
        <v>33</v>
      </c>
      <c r="C705" s="111">
        <v>170.18</v>
      </c>
      <c r="D705" s="111">
        <v>77.110640000000004</v>
      </c>
      <c r="E705" s="111">
        <v>71</v>
      </c>
      <c r="F705" s="111">
        <v>14</v>
      </c>
      <c r="G705" s="133">
        <v>0.5</v>
      </c>
      <c r="H705" s="111">
        <v>26.357142857142858</v>
      </c>
      <c r="I705" s="111">
        <v>2.2142857142857144</v>
      </c>
      <c r="J705" s="111">
        <v>0.35714285714285715</v>
      </c>
      <c r="K705" s="111">
        <v>1.3571428571428572</v>
      </c>
      <c r="L705">
        <v>0</v>
      </c>
    </row>
    <row r="706" spans="1:12" x14ac:dyDescent="0.2">
      <c r="A706" s="111" t="s">
        <v>781</v>
      </c>
      <c r="B706" s="132">
        <v>42</v>
      </c>
      <c r="C706" s="111">
        <v>180.34</v>
      </c>
      <c r="D706" s="111">
        <v>83.914519999999996</v>
      </c>
      <c r="E706" s="111">
        <v>72.837137999999996</v>
      </c>
      <c r="F706" s="111">
        <v>1</v>
      </c>
      <c r="G706" s="133">
        <v>0</v>
      </c>
      <c r="H706" s="111">
        <v>1</v>
      </c>
      <c r="I706" s="111">
        <v>0</v>
      </c>
      <c r="J706" s="111">
        <v>0</v>
      </c>
      <c r="K706" s="111">
        <v>0</v>
      </c>
      <c r="L706">
        <v>0</v>
      </c>
    </row>
    <row r="707" spans="1:12" x14ac:dyDescent="0.2">
      <c r="A707" s="111" t="s">
        <v>782</v>
      </c>
      <c r="B707" s="132">
        <v>47</v>
      </c>
      <c r="C707" s="111">
        <v>182.88</v>
      </c>
      <c r="D707" s="111">
        <v>70.306759999999997</v>
      </c>
      <c r="E707" s="111">
        <v>73.842215999999993</v>
      </c>
      <c r="F707" s="111">
        <v>2</v>
      </c>
      <c r="G707" s="133">
        <v>0.5</v>
      </c>
      <c r="H707" s="111">
        <v>10</v>
      </c>
      <c r="I707" s="111">
        <v>0.5</v>
      </c>
      <c r="J707" s="111">
        <v>0</v>
      </c>
      <c r="K707" s="111">
        <v>0</v>
      </c>
      <c r="L707">
        <v>1</v>
      </c>
    </row>
    <row r="708" spans="1:12" x14ac:dyDescent="0.2">
      <c r="A708" s="111" t="s">
        <v>783</v>
      </c>
      <c r="B708" s="132">
        <v>26</v>
      </c>
      <c r="C708" s="111">
        <v>160.02000000000001</v>
      </c>
      <c r="D708" s="111">
        <v>61.234920000000002</v>
      </c>
      <c r="E708" s="111">
        <v>67</v>
      </c>
      <c r="F708" s="111">
        <v>9</v>
      </c>
      <c r="G708" s="133">
        <v>0.77777777777777779</v>
      </c>
      <c r="H708" s="111">
        <v>54.222222222222221</v>
      </c>
      <c r="I708" s="111">
        <v>0.44444444444444442</v>
      </c>
      <c r="J708" s="111">
        <v>0.66666666666666663</v>
      </c>
      <c r="K708" s="111">
        <v>0</v>
      </c>
      <c r="L708">
        <v>0</v>
      </c>
    </row>
    <row r="709" spans="1:12" x14ac:dyDescent="0.2">
      <c r="A709" s="111" t="s">
        <v>784</v>
      </c>
      <c r="B709" s="132">
        <v>48</v>
      </c>
      <c r="C709" s="111">
        <v>180.34</v>
      </c>
      <c r="D709" s="111">
        <v>90.264808000000002</v>
      </c>
      <c r="E709" s="111">
        <v>72.837137999999996</v>
      </c>
      <c r="F709" s="111">
        <v>1</v>
      </c>
      <c r="G709" s="133">
        <v>0</v>
      </c>
      <c r="H709" s="111">
        <v>4</v>
      </c>
      <c r="I709" s="111">
        <v>3</v>
      </c>
      <c r="J709" s="111">
        <v>1</v>
      </c>
      <c r="K709" s="111">
        <v>3</v>
      </c>
      <c r="L709">
        <v>0</v>
      </c>
    </row>
    <row r="710" spans="1:12" x14ac:dyDescent="0.2">
      <c r="A710" s="111" t="s">
        <v>785</v>
      </c>
      <c r="B710" s="132">
        <v>33</v>
      </c>
      <c r="C710" s="111">
        <v>175.26</v>
      </c>
      <c r="D710" s="111">
        <v>70.306759999999997</v>
      </c>
      <c r="E710" s="111">
        <v>69</v>
      </c>
      <c r="F710" s="111">
        <v>5</v>
      </c>
      <c r="G710" s="133">
        <v>0.4</v>
      </c>
      <c r="H710" s="111">
        <v>19.600000000000001</v>
      </c>
      <c r="I710" s="111">
        <v>2.6</v>
      </c>
      <c r="J710" s="111">
        <v>1</v>
      </c>
      <c r="K710" s="111">
        <v>2.8</v>
      </c>
      <c r="L710">
        <v>1</v>
      </c>
    </row>
    <row r="711" spans="1:12" x14ac:dyDescent="0.2">
      <c r="A711" s="111" t="s">
        <v>786</v>
      </c>
      <c r="B711" s="132">
        <v>31</v>
      </c>
      <c r="C711" s="111">
        <v>172.72</v>
      </c>
      <c r="D711" s="111">
        <v>70.306759999999997</v>
      </c>
      <c r="E711" s="111">
        <v>68</v>
      </c>
      <c r="F711" s="111">
        <v>11</v>
      </c>
      <c r="G711" s="133">
        <v>0.54545454545454541</v>
      </c>
      <c r="H711" s="111">
        <v>58.81818181818182</v>
      </c>
      <c r="I711" s="111">
        <v>0</v>
      </c>
      <c r="J711" s="111">
        <v>0</v>
      </c>
      <c r="K711" s="111">
        <v>0</v>
      </c>
      <c r="L711">
        <v>0</v>
      </c>
    </row>
    <row r="712" spans="1:12" x14ac:dyDescent="0.2">
      <c r="A712" s="111" t="s">
        <v>787</v>
      </c>
      <c r="B712" s="132">
        <v>46</v>
      </c>
      <c r="C712" s="111">
        <v>182.88</v>
      </c>
      <c r="D712" s="111">
        <v>120.20188</v>
      </c>
      <c r="E712" s="111">
        <v>73.842215999999993</v>
      </c>
      <c r="F712" s="111">
        <v>1</v>
      </c>
      <c r="G712" s="133">
        <v>0</v>
      </c>
      <c r="H712" s="111">
        <v>18</v>
      </c>
      <c r="I712" s="111">
        <v>1</v>
      </c>
      <c r="J712" s="111">
        <v>1</v>
      </c>
      <c r="K712" s="111">
        <v>2</v>
      </c>
      <c r="L712">
        <v>0</v>
      </c>
    </row>
    <row r="713" spans="1:12" x14ac:dyDescent="0.2">
      <c r="A713" s="111" t="s">
        <v>788</v>
      </c>
      <c r="B713" s="132" t="s">
        <v>1596</v>
      </c>
      <c r="C713" s="111">
        <v>187.96</v>
      </c>
      <c r="D713" s="111">
        <v>181.43680000000001</v>
      </c>
      <c r="E713" s="111">
        <v>75.852372000000003</v>
      </c>
      <c r="F713" s="111">
        <v>1</v>
      </c>
      <c r="G713" s="133">
        <v>0</v>
      </c>
      <c r="H713" s="111">
        <v>0</v>
      </c>
      <c r="I713" s="111">
        <v>0</v>
      </c>
      <c r="J713" s="111">
        <v>0</v>
      </c>
      <c r="K713" s="111">
        <v>0</v>
      </c>
      <c r="L713">
        <v>0</v>
      </c>
    </row>
    <row r="714" spans="1:12" x14ac:dyDescent="0.2">
      <c r="A714" s="111" t="s">
        <v>789</v>
      </c>
      <c r="B714" s="132">
        <v>32</v>
      </c>
      <c r="C714" s="111">
        <v>167.64</v>
      </c>
      <c r="D714" s="111">
        <v>56.698999999999998</v>
      </c>
      <c r="E714" s="111">
        <v>66</v>
      </c>
      <c r="F714" s="111">
        <v>8</v>
      </c>
      <c r="G714" s="133">
        <v>0.625</v>
      </c>
      <c r="H714" s="111">
        <v>30.625</v>
      </c>
      <c r="I714" s="111">
        <v>0.5</v>
      </c>
      <c r="J714" s="111">
        <v>0.75</v>
      </c>
      <c r="K714" s="111">
        <v>0.5</v>
      </c>
      <c r="L714">
        <v>0</v>
      </c>
    </row>
    <row r="715" spans="1:12" x14ac:dyDescent="0.2">
      <c r="A715" s="111" t="s">
        <v>790</v>
      </c>
      <c r="B715" s="132">
        <v>41</v>
      </c>
      <c r="C715" s="111">
        <v>198.12</v>
      </c>
      <c r="D715" s="111">
        <v>114.758776</v>
      </c>
      <c r="E715" s="111">
        <v>79.872684000000007</v>
      </c>
      <c r="F715" s="111">
        <v>2</v>
      </c>
      <c r="G715" s="133">
        <v>0</v>
      </c>
      <c r="H715" s="111">
        <v>32.5</v>
      </c>
      <c r="I715" s="111">
        <v>0.5</v>
      </c>
      <c r="J715" s="111">
        <v>0</v>
      </c>
      <c r="K715" s="111">
        <v>1.5</v>
      </c>
      <c r="L715">
        <v>0</v>
      </c>
    </row>
    <row r="716" spans="1:12" x14ac:dyDescent="0.2">
      <c r="A716" s="111" t="s">
        <v>791</v>
      </c>
      <c r="B716" s="132">
        <v>35</v>
      </c>
      <c r="C716" s="111">
        <v>177.8</v>
      </c>
      <c r="D716" s="111">
        <v>70.306759999999997</v>
      </c>
      <c r="E716" s="111">
        <v>71.832059999999998</v>
      </c>
      <c r="F716" s="111">
        <v>1</v>
      </c>
      <c r="G716" s="133">
        <v>0</v>
      </c>
      <c r="H716" s="111">
        <v>1</v>
      </c>
      <c r="I716" s="111">
        <v>0</v>
      </c>
      <c r="J716" s="111">
        <v>1</v>
      </c>
      <c r="K716" s="111">
        <v>0</v>
      </c>
      <c r="L716">
        <v>0</v>
      </c>
    </row>
    <row r="717" spans="1:12" x14ac:dyDescent="0.2">
      <c r="A717" s="111" t="s">
        <v>792</v>
      </c>
      <c r="B717" s="132">
        <v>31</v>
      </c>
      <c r="C717" s="111">
        <v>185.42</v>
      </c>
      <c r="D717" s="111">
        <v>83.914519999999996</v>
      </c>
      <c r="E717" s="111">
        <v>74</v>
      </c>
      <c r="F717" s="111">
        <v>3</v>
      </c>
      <c r="G717" s="133">
        <v>0.33333333333333331</v>
      </c>
      <c r="H717" s="111">
        <v>10.333333333333334</v>
      </c>
      <c r="I717" s="111">
        <v>1.3333333333333333</v>
      </c>
      <c r="J717" s="111">
        <v>0</v>
      </c>
      <c r="K717" s="111">
        <v>0.66666666666666663</v>
      </c>
      <c r="L717">
        <v>1</v>
      </c>
    </row>
    <row r="718" spans="1:12" x14ac:dyDescent="0.2">
      <c r="A718" s="111" t="s">
        <v>793</v>
      </c>
      <c r="B718" s="132">
        <v>30</v>
      </c>
      <c r="C718" s="111">
        <v>170.18</v>
      </c>
      <c r="D718" s="111">
        <v>65.770840000000007</v>
      </c>
      <c r="E718" s="111">
        <v>68.816826000000006</v>
      </c>
      <c r="F718" s="111">
        <v>1</v>
      </c>
      <c r="G718" s="133">
        <v>0</v>
      </c>
      <c r="H718" s="111">
        <v>52</v>
      </c>
      <c r="I718" s="111">
        <v>1</v>
      </c>
      <c r="J718" s="111">
        <v>0</v>
      </c>
      <c r="K718" s="111">
        <v>0</v>
      </c>
      <c r="L718">
        <v>0</v>
      </c>
    </row>
    <row r="719" spans="1:12" x14ac:dyDescent="0.2">
      <c r="A719" s="111" t="s">
        <v>794</v>
      </c>
      <c r="B719" s="132">
        <v>33</v>
      </c>
      <c r="C719" s="111">
        <v>177.8</v>
      </c>
      <c r="D719" s="111">
        <v>61.234920000000002</v>
      </c>
      <c r="E719" s="111">
        <v>71</v>
      </c>
      <c r="F719" s="111">
        <v>6</v>
      </c>
      <c r="G719" s="133">
        <v>0.33333333333333331</v>
      </c>
      <c r="H719" s="111">
        <v>31</v>
      </c>
      <c r="I719" s="111">
        <v>0.83333333333333337</v>
      </c>
      <c r="J719" s="111">
        <v>0</v>
      </c>
      <c r="K719" s="111">
        <v>2.3333333333333335</v>
      </c>
      <c r="L719">
        <v>0</v>
      </c>
    </row>
    <row r="720" spans="1:12" x14ac:dyDescent="0.2">
      <c r="A720" s="111" t="s">
        <v>795</v>
      </c>
      <c r="B720" s="132">
        <v>27</v>
      </c>
      <c r="C720" s="111">
        <v>177.8</v>
      </c>
      <c r="D720" s="111">
        <v>70.306759999999997</v>
      </c>
      <c r="E720" s="111">
        <v>72</v>
      </c>
      <c r="F720" s="111">
        <v>4</v>
      </c>
      <c r="G720" s="133">
        <v>1</v>
      </c>
      <c r="H720" s="111">
        <v>46.5</v>
      </c>
      <c r="I720" s="111">
        <v>2</v>
      </c>
      <c r="J720" s="111">
        <v>0</v>
      </c>
      <c r="K720" s="111">
        <v>3.25</v>
      </c>
      <c r="L720">
        <v>0</v>
      </c>
    </row>
    <row r="721" spans="1:12" x14ac:dyDescent="0.2">
      <c r="A721" s="111" t="s">
        <v>796</v>
      </c>
      <c r="B721" s="132">
        <v>36</v>
      </c>
      <c r="C721" s="111">
        <v>170.18</v>
      </c>
      <c r="D721" s="111">
        <v>61.234920000000002</v>
      </c>
      <c r="E721" s="111">
        <v>71</v>
      </c>
      <c r="F721" s="111">
        <v>4</v>
      </c>
      <c r="G721" s="133">
        <v>0.5</v>
      </c>
      <c r="H721" s="111">
        <v>23.5</v>
      </c>
      <c r="I721" s="111">
        <v>0</v>
      </c>
      <c r="J721" s="111">
        <v>0.25</v>
      </c>
      <c r="K721" s="111">
        <v>0</v>
      </c>
      <c r="L721">
        <v>0</v>
      </c>
    </row>
    <row r="722" spans="1:12" x14ac:dyDescent="0.2">
      <c r="A722" s="111" t="s">
        <v>797</v>
      </c>
      <c r="B722" s="132" t="s">
        <v>1596</v>
      </c>
      <c r="C722" s="111">
        <v>182.88</v>
      </c>
      <c r="D722" s="111">
        <v>77.110640000000004</v>
      </c>
      <c r="E722" s="111">
        <v>73.842215999999993</v>
      </c>
      <c r="F722" s="111">
        <v>2</v>
      </c>
      <c r="G722" s="133">
        <v>0</v>
      </c>
      <c r="H722" s="111">
        <v>21.5</v>
      </c>
      <c r="I722" s="111">
        <v>0.5</v>
      </c>
      <c r="J722" s="111">
        <v>0</v>
      </c>
      <c r="K722" s="111">
        <v>0.5</v>
      </c>
      <c r="L722">
        <v>0</v>
      </c>
    </row>
    <row r="723" spans="1:12" x14ac:dyDescent="0.2">
      <c r="A723" s="111" t="s">
        <v>798</v>
      </c>
      <c r="B723" s="132" t="s">
        <v>1596</v>
      </c>
      <c r="C723" s="111">
        <v>182.88</v>
      </c>
      <c r="D723" s="111">
        <v>95.254320000000007</v>
      </c>
      <c r="E723" s="111">
        <v>73.842215999999993</v>
      </c>
      <c r="F723" s="111">
        <v>3</v>
      </c>
      <c r="G723" s="133">
        <v>0.66666666666666663</v>
      </c>
      <c r="H723" s="111">
        <v>9.3333333333333339</v>
      </c>
      <c r="I723" s="111">
        <v>0.33333333333333331</v>
      </c>
      <c r="J723" s="111">
        <v>0.33333333333333331</v>
      </c>
      <c r="K723" s="111">
        <v>0.66666666666666663</v>
      </c>
      <c r="L723">
        <v>0</v>
      </c>
    </row>
    <row r="724" spans="1:12" x14ac:dyDescent="0.2">
      <c r="A724" s="111" t="s">
        <v>799</v>
      </c>
      <c r="B724" s="132">
        <v>33</v>
      </c>
      <c r="C724" s="111">
        <v>175.26</v>
      </c>
      <c r="D724" s="111">
        <v>77.110640000000004</v>
      </c>
      <c r="E724" s="111">
        <v>69</v>
      </c>
      <c r="F724" s="111">
        <v>16</v>
      </c>
      <c r="G724" s="133">
        <v>0.75</v>
      </c>
      <c r="H724" s="111">
        <v>44.3125</v>
      </c>
      <c r="I724" s="111">
        <v>3.375</v>
      </c>
      <c r="J724" s="111">
        <v>0.375</v>
      </c>
      <c r="K724" s="111">
        <v>1.0625</v>
      </c>
      <c r="L724">
        <v>1</v>
      </c>
    </row>
    <row r="725" spans="1:12" x14ac:dyDescent="0.2">
      <c r="A725" s="111" t="s">
        <v>1561</v>
      </c>
      <c r="B725" s="132">
        <v>29</v>
      </c>
      <c r="C725" s="111">
        <v>167.64</v>
      </c>
      <c r="D725" s="111">
        <v>56.698999999999998</v>
      </c>
      <c r="E725" s="111">
        <v>67</v>
      </c>
      <c r="F725" s="111">
        <v>4</v>
      </c>
      <c r="G725" s="133">
        <v>0.25</v>
      </c>
      <c r="H725" s="111">
        <v>17.5</v>
      </c>
      <c r="I725" s="111">
        <v>1.25</v>
      </c>
      <c r="J725" s="111">
        <v>0.75</v>
      </c>
      <c r="K725" s="111">
        <v>1.25</v>
      </c>
      <c r="L725">
        <v>0</v>
      </c>
    </row>
    <row r="726" spans="1:12" x14ac:dyDescent="0.2">
      <c r="A726" s="111" t="s">
        <v>800</v>
      </c>
      <c r="B726" s="132">
        <v>38</v>
      </c>
      <c r="C726" s="111">
        <v>182.88</v>
      </c>
      <c r="D726" s="111">
        <v>77.110640000000004</v>
      </c>
      <c r="E726" s="111">
        <v>76</v>
      </c>
      <c r="F726" s="111">
        <v>18</v>
      </c>
      <c r="G726" s="133">
        <v>0.77777777777777779</v>
      </c>
      <c r="H726" s="111">
        <v>33.055555555555557</v>
      </c>
      <c r="I726" s="111">
        <v>3.1111111111111112</v>
      </c>
      <c r="J726" s="111">
        <v>0.83333333333333337</v>
      </c>
      <c r="K726" s="111">
        <v>2.5555555555555554</v>
      </c>
      <c r="L726">
        <v>0</v>
      </c>
    </row>
    <row r="727" spans="1:12" x14ac:dyDescent="0.2">
      <c r="A727" s="111" t="s">
        <v>801</v>
      </c>
      <c r="B727" s="132" t="s">
        <v>1596</v>
      </c>
      <c r="C727" s="111">
        <v>200.66</v>
      </c>
      <c r="D727" s="111">
        <v>133.80964</v>
      </c>
      <c r="E727" s="111">
        <v>80.877762000000004</v>
      </c>
      <c r="F727" s="111">
        <v>1</v>
      </c>
      <c r="G727" s="133">
        <v>1</v>
      </c>
      <c r="H727" s="111">
        <v>17</v>
      </c>
      <c r="I727" s="111">
        <v>0</v>
      </c>
      <c r="J727" s="111">
        <v>0</v>
      </c>
      <c r="K727" s="111">
        <v>0</v>
      </c>
      <c r="L727">
        <v>0</v>
      </c>
    </row>
    <row r="728" spans="1:12" x14ac:dyDescent="0.2">
      <c r="A728" s="111" t="s">
        <v>802</v>
      </c>
      <c r="B728" s="132">
        <v>29</v>
      </c>
      <c r="C728" s="111">
        <v>193.04</v>
      </c>
      <c r="D728" s="111">
        <v>92.986360000000005</v>
      </c>
      <c r="E728" s="111">
        <v>84</v>
      </c>
      <c r="F728" s="111">
        <v>16</v>
      </c>
      <c r="G728" s="133">
        <v>0.9375</v>
      </c>
      <c r="H728" s="111">
        <v>57.25</v>
      </c>
      <c r="I728" s="111">
        <v>2.0625</v>
      </c>
      <c r="J728" s="111">
        <v>0.625</v>
      </c>
      <c r="K728" s="111">
        <v>1.375</v>
      </c>
      <c r="L728">
        <v>0</v>
      </c>
    </row>
    <row r="729" spans="1:12" x14ac:dyDescent="0.2">
      <c r="A729" s="111" t="s">
        <v>803</v>
      </c>
      <c r="B729" s="132">
        <v>36</v>
      </c>
      <c r="C729" s="111">
        <v>182.88</v>
      </c>
      <c r="D729" s="111">
        <v>108.86208000000001</v>
      </c>
      <c r="E729" s="111">
        <v>72</v>
      </c>
      <c r="F729" s="111">
        <v>5</v>
      </c>
      <c r="G729" s="133">
        <v>0.8</v>
      </c>
      <c r="H729" s="111">
        <v>28</v>
      </c>
      <c r="I729" s="111">
        <v>1</v>
      </c>
      <c r="J729" s="111">
        <v>0</v>
      </c>
      <c r="K729" s="111">
        <v>0.8</v>
      </c>
      <c r="L729">
        <v>0</v>
      </c>
    </row>
    <row r="730" spans="1:12" x14ac:dyDescent="0.2">
      <c r="A730" s="111" t="s">
        <v>804</v>
      </c>
      <c r="B730" s="132">
        <v>30</v>
      </c>
      <c r="C730" s="111">
        <v>185.42</v>
      </c>
      <c r="D730" s="111">
        <v>77.110640000000004</v>
      </c>
      <c r="E730" s="111">
        <v>75</v>
      </c>
      <c r="F730" s="111">
        <v>1</v>
      </c>
      <c r="G730" s="133">
        <v>0</v>
      </c>
      <c r="H730" s="111">
        <v>17</v>
      </c>
      <c r="I730" s="111">
        <v>1</v>
      </c>
      <c r="J730" s="111">
        <v>0</v>
      </c>
      <c r="K730" s="111">
        <v>2</v>
      </c>
      <c r="L730">
        <v>0</v>
      </c>
    </row>
    <row r="731" spans="1:12" x14ac:dyDescent="0.2">
      <c r="A731" s="111" t="s">
        <v>805</v>
      </c>
      <c r="B731" s="132">
        <v>32</v>
      </c>
      <c r="C731" s="111">
        <v>180.34</v>
      </c>
      <c r="D731" s="111">
        <v>70.306759999999997</v>
      </c>
      <c r="E731" s="111">
        <v>73</v>
      </c>
      <c r="F731" s="111">
        <v>5</v>
      </c>
      <c r="G731" s="133">
        <v>0.6</v>
      </c>
      <c r="H731" s="111">
        <v>38.4</v>
      </c>
      <c r="I731" s="111">
        <v>0.6</v>
      </c>
      <c r="J731" s="111">
        <v>1</v>
      </c>
      <c r="K731" s="111">
        <v>3.2</v>
      </c>
      <c r="L731">
        <v>0</v>
      </c>
    </row>
    <row r="732" spans="1:12" x14ac:dyDescent="0.2">
      <c r="A732" s="111" t="s">
        <v>806</v>
      </c>
      <c r="B732" s="132">
        <v>31</v>
      </c>
      <c r="C732" s="111">
        <v>182.88</v>
      </c>
      <c r="D732" s="111">
        <v>65.770840000000007</v>
      </c>
      <c r="E732" s="111">
        <v>73</v>
      </c>
      <c r="F732" s="111">
        <v>5</v>
      </c>
      <c r="G732" s="133">
        <v>0.4</v>
      </c>
      <c r="H732" s="111">
        <v>25.2</v>
      </c>
      <c r="I732" s="111">
        <v>1.2</v>
      </c>
      <c r="J732" s="111">
        <v>0.2</v>
      </c>
      <c r="K732" s="111">
        <v>0.8</v>
      </c>
      <c r="L732">
        <v>1</v>
      </c>
    </row>
    <row r="733" spans="1:12" x14ac:dyDescent="0.2">
      <c r="A733" s="111" t="s">
        <v>807</v>
      </c>
      <c r="B733" s="132">
        <v>37</v>
      </c>
      <c r="C733" s="111">
        <v>182.88</v>
      </c>
      <c r="D733" s="111">
        <v>77.110640000000004</v>
      </c>
      <c r="E733" s="111">
        <v>73</v>
      </c>
      <c r="F733" s="111">
        <v>9</v>
      </c>
      <c r="G733" s="133">
        <v>0.44444444444444442</v>
      </c>
      <c r="H733" s="111">
        <v>9</v>
      </c>
      <c r="I733" s="111">
        <v>1.5555555555555556</v>
      </c>
      <c r="J733" s="111">
        <v>0.22222222222222221</v>
      </c>
      <c r="K733" s="111">
        <v>1.8888888888888888</v>
      </c>
      <c r="L733">
        <v>0</v>
      </c>
    </row>
    <row r="734" spans="1:12" x14ac:dyDescent="0.2">
      <c r="A734" s="111" t="s">
        <v>808</v>
      </c>
      <c r="B734" s="132" t="s">
        <v>1596</v>
      </c>
      <c r="C734" s="111">
        <v>190.5</v>
      </c>
      <c r="D734" s="111">
        <v>113.398</v>
      </c>
      <c r="E734" s="111">
        <v>76.85745</v>
      </c>
      <c r="F734" s="111">
        <v>1</v>
      </c>
      <c r="G734" s="133">
        <v>1</v>
      </c>
      <c r="H734" s="111">
        <v>10</v>
      </c>
      <c r="I734" s="111">
        <v>1</v>
      </c>
      <c r="J734" s="111">
        <v>0</v>
      </c>
      <c r="K734" s="111">
        <v>1</v>
      </c>
      <c r="L734">
        <v>1</v>
      </c>
    </row>
    <row r="735" spans="1:12" x14ac:dyDescent="0.2">
      <c r="A735" s="111" t="s">
        <v>809</v>
      </c>
      <c r="B735" s="132" t="s">
        <v>1596</v>
      </c>
      <c r="C735" s="111">
        <v>187.96</v>
      </c>
      <c r="D735" s="111">
        <v>92.986360000000005</v>
      </c>
      <c r="E735" s="111">
        <v>75</v>
      </c>
      <c r="F735" s="111">
        <v>1</v>
      </c>
      <c r="G735" s="133">
        <v>1</v>
      </c>
      <c r="H735" s="111">
        <v>4</v>
      </c>
      <c r="I735" s="111">
        <v>0</v>
      </c>
      <c r="J735" s="111">
        <v>0</v>
      </c>
      <c r="K735" s="111">
        <v>0</v>
      </c>
      <c r="L735">
        <v>1</v>
      </c>
    </row>
    <row r="736" spans="1:12" x14ac:dyDescent="0.2">
      <c r="A736" s="111" t="s">
        <v>810</v>
      </c>
      <c r="B736" s="132">
        <v>27</v>
      </c>
      <c r="C736" s="111">
        <v>177.8</v>
      </c>
      <c r="D736" s="111">
        <v>77.110640000000004</v>
      </c>
      <c r="E736" s="111">
        <v>71</v>
      </c>
      <c r="F736" s="111">
        <v>2</v>
      </c>
      <c r="G736" s="133">
        <v>0</v>
      </c>
      <c r="H736" s="111">
        <v>22</v>
      </c>
      <c r="I736" s="111">
        <v>2.5</v>
      </c>
      <c r="J736" s="111">
        <v>1</v>
      </c>
      <c r="K736" s="111">
        <v>1</v>
      </c>
      <c r="L736">
        <v>0</v>
      </c>
    </row>
    <row r="737" spans="1:12" x14ac:dyDescent="0.2">
      <c r="A737" s="111" t="s">
        <v>811</v>
      </c>
      <c r="B737" s="132">
        <v>27</v>
      </c>
      <c r="C737" s="111">
        <v>182.88</v>
      </c>
      <c r="D737" s="111">
        <v>77.110640000000004</v>
      </c>
      <c r="E737" s="111">
        <v>73</v>
      </c>
      <c r="F737" s="111">
        <v>5</v>
      </c>
      <c r="G737" s="133">
        <v>0.6</v>
      </c>
      <c r="H737" s="111">
        <v>29.2</v>
      </c>
      <c r="I737" s="111">
        <v>0.8</v>
      </c>
      <c r="J737" s="111">
        <v>0</v>
      </c>
      <c r="K737" s="111">
        <v>0.8</v>
      </c>
      <c r="L737">
        <v>0</v>
      </c>
    </row>
    <row r="738" spans="1:12" x14ac:dyDescent="0.2">
      <c r="A738" s="111" t="s">
        <v>812</v>
      </c>
      <c r="B738" s="132" t="s">
        <v>1596</v>
      </c>
      <c r="C738" s="111">
        <v>170.18</v>
      </c>
      <c r="D738" s="111">
        <v>83.914519999999996</v>
      </c>
      <c r="E738" s="111">
        <v>68.816826000000006</v>
      </c>
      <c r="F738" s="111">
        <v>2</v>
      </c>
      <c r="G738" s="133">
        <v>0</v>
      </c>
      <c r="H738" s="111">
        <v>10.5</v>
      </c>
      <c r="I738" s="111">
        <v>0</v>
      </c>
      <c r="J738" s="111">
        <v>0</v>
      </c>
      <c r="K738" s="111">
        <v>0</v>
      </c>
      <c r="L738">
        <v>1</v>
      </c>
    </row>
    <row r="739" spans="1:12" x14ac:dyDescent="0.2">
      <c r="A739" s="111" t="s">
        <v>1569</v>
      </c>
      <c r="B739" s="132">
        <v>36</v>
      </c>
      <c r="C739" s="111">
        <v>172.72</v>
      </c>
      <c r="D739" s="111">
        <v>70.306759999999997</v>
      </c>
      <c r="E739" s="111">
        <v>71</v>
      </c>
      <c r="F739" s="111">
        <v>2</v>
      </c>
      <c r="G739" s="133">
        <v>0</v>
      </c>
      <c r="H739" s="111">
        <v>11.5</v>
      </c>
      <c r="I739" s="111">
        <v>0</v>
      </c>
      <c r="J739" s="111">
        <v>0</v>
      </c>
      <c r="K739" s="111">
        <v>0</v>
      </c>
      <c r="L739">
        <v>0</v>
      </c>
    </row>
    <row r="740" spans="1:12" x14ac:dyDescent="0.2">
      <c r="A740" s="111" t="s">
        <v>813</v>
      </c>
      <c r="B740" s="132">
        <v>39</v>
      </c>
      <c r="C740" s="111">
        <v>170.18</v>
      </c>
      <c r="D740" s="111">
        <v>70.306759999999997</v>
      </c>
      <c r="E740" s="111">
        <v>69</v>
      </c>
      <c r="F740" s="111">
        <v>7</v>
      </c>
      <c r="G740" s="133">
        <v>0.42857142857142855</v>
      </c>
      <c r="H740" s="111">
        <v>50.857142857142854</v>
      </c>
      <c r="I740" s="111">
        <v>0.8571428571428571</v>
      </c>
      <c r="J740" s="111">
        <v>0.14285714285714285</v>
      </c>
      <c r="K740" s="111">
        <v>0.8571428571428571</v>
      </c>
      <c r="L740">
        <v>0</v>
      </c>
    </row>
    <row r="741" spans="1:12" x14ac:dyDescent="0.2">
      <c r="A741" s="111" t="s">
        <v>814</v>
      </c>
      <c r="B741" s="132">
        <v>28</v>
      </c>
      <c r="C741" s="111">
        <v>177.8</v>
      </c>
      <c r="D741" s="111">
        <v>77.110640000000004</v>
      </c>
      <c r="E741" s="111">
        <v>71.832059999999998</v>
      </c>
      <c r="F741" s="111">
        <v>2</v>
      </c>
      <c r="G741" s="133">
        <v>0</v>
      </c>
      <c r="H741" s="111">
        <v>37</v>
      </c>
      <c r="I741" s="111">
        <v>3.5</v>
      </c>
      <c r="J741" s="111">
        <v>0</v>
      </c>
      <c r="K741" s="111">
        <v>3</v>
      </c>
      <c r="L741">
        <v>0</v>
      </c>
    </row>
    <row r="742" spans="1:12" x14ac:dyDescent="0.2">
      <c r="A742" s="111" t="s">
        <v>815</v>
      </c>
      <c r="B742" s="132">
        <v>32</v>
      </c>
      <c r="C742" s="111">
        <v>180.34</v>
      </c>
      <c r="D742" s="111">
        <v>77.110640000000004</v>
      </c>
      <c r="E742" s="111">
        <v>74</v>
      </c>
      <c r="F742" s="111">
        <v>9</v>
      </c>
      <c r="G742" s="133">
        <v>0.66666666666666663</v>
      </c>
      <c r="H742" s="111">
        <v>52.555555555555557</v>
      </c>
      <c r="I742" s="111">
        <v>1.4444444444444444</v>
      </c>
      <c r="J742" s="111">
        <v>0.55555555555555558</v>
      </c>
      <c r="K742" s="111">
        <v>1.3333333333333333</v>
      </c>
      <c r="L742">
        <v>0</v>
      </c>
    </row>
    <row r="743" spans="1:12" x14ac:dyDescent="0.2">
      <c r="A743" s="111" t="s">
        <v>816</v>
      </c>
      <c r="B743" s="132">
        <v>43</v>
      </c>
      <c r="C743" s="111">
        <v>172.72</v>
      </c>
      <c r="D743" s="111">
        <v>77.110640000000004</v>
      </c>
      <c r="E743" s="111">
        <v>69.821904000000004</v>
      </c>
      <c r="F743" s="111">
        <v>1</v>
      </c>
      <c r="G743" s="133">
        <v>0</v>
      </c>
      <c r="H743" s="111">
        <v>19</v>
      </c>
      <c r="I743" s="111">
        <v>1</v>
      </c>
      <c r="J743" s="111">
        <v>1</v>
      </c>
      <c r="K743" s="111">
        <v>1</v>
      </c>
      <c r="L743">
        <v>0</v>
      </c>
    </row>
    <row r="744" spans="1:12" x14ac:dyDescent="0.2">
      <c r="A744" s="111" t="s">
        <v>817</v>
      </c>
      <c r="B744" s="132">
        <v>44</v>
      </c>
      <c r="C744" s="111">
        <v>185.42</v>
      </c>
      <c r="D744" s="111">
        <v>83.914519999999996</v>
      </c>
      <c r="E744" s="111">
        <v>73</v>
      </c>
      <c r="F744" s="111">
        <v>15</v>
      </c>
      <c r="G744" s="133">
        <v>0.53333333333333333</v>
      </c>
      <c r="H744" s="111">
        <v>25.2</v>
      </c>
      <c r="I744" s="111">
        <v>0.46666666666666667</v>
      </c>
      <c r="J744" s="111">
        <v>6.6666666666666666E-2</v>
      </c>
      <c r="K744" s="111">
        <v>0.33333333333333331</v>
      </c>
      <c r="L744">
        <v>0</v>
      </c>
    </row>
    <row r="745" spans="1:12" x14ac:dyDescent="0.2">
      <c r="A745" s="111" t="s">
        <v>818</v>
      </c>
      <c r="B745" s="132">
        <v>36</v>
      </c>
      <c r="C745" s="111">
        <v>185.42</v>
      </c>
      <c r="D745" s="111">
        <v>77.110640000000004</v>
      </c>
      <c r="E745" s="111">
        <v>74</v>
      </c>
      <c r="F745" s="111">
        <v>6</v>
      </c>
      <c r="G745" s="133">
        <v>0.16666666666666666</v>
      </c>
      <c r="H745" s="111">
        <v>17.333333333333332</v>
      </c>
      <c r="I745" s="111">
        <v>0.33333333333333331</v>
      </c>
      <c r="J745" s="111">
        <v>0.5</v>
      </c>
      <c r="K745" s="111">
        <v>0.66666666666666663</v>
      </c>
      <c r="L745">
        <v>0</v>
      </c>
    </row>
    <row r="746" spans="1:12" x14ac:dyDescent="0.2">
      <c r="A746" s="111" t="s">
        <v>819</v>
      </c>
      <c r="B746" s="132" t="s">
        <v>1596</v>
      </c>
      <c r="C746" s="111">
        <v>172.72</v>
      </c>
      <c r="D746" s="111">
        <v>61.234920000000002</v>
      </c>
      <c r="E746" s="111">
        <v>69</v>
      </c>
      <c r="F746" s="111">
        <v>2</v>
      </c>
      <c r="G746" s="133">
        <v>0.5</v>
      </c>
      <c r="H746" s="111">
        <v>20</v>
      </c>
      <c r="I746" s="111">
        <v>2</v>
      </c>
      <c r="J746" s="111">
        <v>2</v>
      </c>
      <c r="K746" s="111">
        <v>3</v>
      </c>
      <c r="L746">
        <v>0</v>
      </c>
    </row>
    <row r="747" spans="1:12" x14ac:dyDescent="0.2">
      <c r="A747" s="111" t="s">
        <v>820</v>
      </c>
      <c r="B747" s="132">
        <v>30</v>
      </c>
      <c r="C747" s="111">
        <v>170.18</v>
      </c>
      <c r="D747" s="111">
        <v>65.770840000000007</v>
      </c>
      <c r="E747" s="111">
        <v>70</v>
      </c>
      <c r="F747" s="111">
        <v>8</v>
      </c>
      <c r="G747" s="133">
        <v>0.875</v>
      </c>
      <c r="H747" s="111">
        <v>53.625</v>
      </c>
      <c r="I747" s="111">
        <v>1.5</v>
      </c>
      <c r="J747" s="111">
        <v>0.375</v>
      </c>
      <c r="K747" s="111">
        <v>1.375</v>
      </c>
      <c r="L747">
        <v>0</v>
      </c>
    </row>
    <row r="748" spans="1:12" x14ac:dyDescent="0.2">
      <c r="A748" s="111" t="s">
        <v>821</v>
      </c>
      <c r="B748" s="132">
        <v>34</v>
      </c>
      <c r="C748" s="111">
        <v>165.1</v>
      </c>
      <c r="D748" s="111">
        <v>56.698999999999998</v>
      </c>
      <c r="E748" s="111">
        <v>66.806669999999997</v>
      </c>
      <c r="F748" s="111">
        <v>2</v>
      </c>
      <c r="G748" s="133">
        <v>0</v>
      </c>
      <c r="H748" s="111">
        <v>31</v>
      </c>
      <c r="I748" s="111">
        <v>1.5</v>
      </c>
      <c r="J748" s="111">
        <v>1.5</v>
      </c>
      <c r="K748" s="111">
        <v>0.5</v>
      </c>
      <c r="L748">
        <v>0</v>
      </c>
    </row>
    <row r="749" spans="1:12" x14ac:dyDescent="0.2">
      <c r="A749" s="111" t="s">
        <v>822</v>
      </c>
      <c r="B749" s="132">
        <v>32</v>
      </c>
      <c r="C749" s="111">
        <v>162.56</v>
      </c>
      <c r="D749" s="111">
        <v>56.698999999999998</v>
      </c>
      <c r="E749" s="111">
        <v>65</v>
      </c>
      <c r="F749" s="111">
        <v>13</v>
      </c>
      <c r="G749" s="133">
        <v>0.84615384615384615</v>
      </c>
      <c r="H749" s="111">
        <v>45.692307692307693</v>
      </c>
      <c r="I749" s="111">
        <v>1.0769230769230769</v>
      </c>
      <c r="J749" s="111">
        <v>0.30769230769230771</v>
      </c>
      <c r="K749" s="111">
        <v>1.9230769230769231</v>
      </c>
      <c r="L749">
        <v>1</v>
      </c>
    </row>
    <row r="750" spans="1:12" x14ac:dyDescent="0.2">
      <c r="A750" s="111" t="s">
        <v>1554</v>
      </c>
      <c r="B750" s="132">
        <v>28</v>
      </c>
      <c r="C750" s="111">
        <v>177.8</v>
      </c>
      <c r="D750" s="111">
        <v>70.306759999999997</v>
      </c>
      <c r="E750" s="111">
        <v>73</v>
      </c>
      <c r="F750" s="111">
        <v>3</v>
      </c>
      <c r="G750" s="133">
        <v>0.66666666666666663</v>
      </c>
      <c r="H750" s="111">
        <v>20</v>
      </c>
      <c r="I750" s="111">
        <v>0</v>
      </c>
      <c r="J750" s="111">
        <v>0.66666666666666663</v>
      </c>
      <c r="K750" s="111">
        <v>0</v>
      </c>
      <c r="L750">
        <v>0</v>
      </c>
    </row>
    <row r="751" spans="1:12" x14ac:dyDescent="0.2">
      <c r="A751" s="111" t="s">
        <v>823</v>
      </c>
      <c r="B751" s="132">
        <v>30</v>
      </c>
      <c r="C751" s="111">
        <v>170.18</v>
      </c>
      <c r="D751" s="111">
        <v>61.234920000000002</v>
      </c>
      <c r="E751" s="111">
        <v>68.816826000000006</v>
      </c>
      <c r="F751" s="111">
        <v>2</v>
      </c>
      <c r="G751" s="133">
        <v>0</v>
      </c>
      <c r="H751" s="111">
        <v>1.5</v>
      </c>
      <c r="I751" s="111">
        <v>0</v>
      </c>
      <c r="J751" s="111">
        <v>0</v>
      </c>
      <c r="K751" s="111">
        <v>0</v>
      </c>
      <c r="L751">
        <v>1</v>
      </c>
    </row>
    <row r="752" spans="1:12" x14ac:dyDescent="0.2">
      <c r="A752" s="111" t="s">
        <v>824</v>
      </c>
      <c r="B752" s="132">
        <v>39</v>
      </c>
      <c r="C752" s="111">
        <v>190.5</v>
      </c>
      <c r="D752" s="111">
        <v>113.398</v>
      </c>
      <c r="E752" s="111">
        <v>78</v>
      </c>
      <c r="F752" s="111">
        <v>9</v>
      </c>
      <c r="G752" s="133">
        <v>0.66666666666666663</v>
      </c>
      <c r="H752" s="111">
        <v>37.666666666666664</v>
      </c>
      <c r="I752" s="111">
        <v>0.44444444444444442</v>
      </c>
      <c r="J752" s="111">
        <v>0.44444444444444442</v>
      </c>
      <c r="K752" s="111">
        <v>1.1111111111111112</v>
      </c>
      <c r="L752">
        <v>0</v>
      </c>
    </row>
    <row r="753" spans="1:12" x14ac:dyDescent="0.2">
      <c r="A753" s="111" t="s">
        <v>825</v>
      </c>
      <c r="B753" s="132">
        <v>36</v>
      </c>
      <c r="C753" s="111">
        <v>177.8</v>
      </c>
      <c r="D753" s="111">
        <v>83.914519999999996</v>
      </c>
      <c r="E753" s="111">
        <v>71.832059999999998</v>
      </c>
      <c r="F753" s="111">
        <v>1</v>
      </c>
      <c r="G753" s="133">
        <v>0</v>
      </c>
      <c r="H753" s="111">
        <v>9</v>
      </c>
      <c r="I753" s="111">
        <v>0</v>
      </c>
      <c r="J753" s="111">
        <v>0</v>
      </c>
      <c r="K753" s="111">
        <v>0</v>
      </c>
      <c r="L753">
        <v>0</v>
      </c>
    </row>
    <row r="754" spans="1:12" x14ac:dyDescent="0.2">
      <c r="A754" s="111" t="s">
        <v>826</v>
      </c>
      <c r="B754" s="132">
        <v>35</v>
      </c>
      <c r="C754" s="111">
        <v>167.64</v>
      </c>
      <c r="D754" s="111">
        <v>65.770840000000007</v>
      </c>
      <c r="E754" s="111">
        <v>68</v>
      </c>
      <c r="F754" s="111">
        <v>2</v>
      </c>
      <c r="G754" s="133">
        <v>0</v>
      </c>
      <c r="H754" s="111">
        <v>24</v>
      </c>
      <c r="I754" s="111">
        <v>2</v>
      </c>
      <c r="J754" s="111">
        <v>0</v>
      </c>
      <c r="K754" s="111">
        <v>0.5</v>
      </c>
      <c r="L754">
        <v>0</v>
      </c>
    </row>
    <row r="755" spans="1:12" x14ac:dyDescent="0.2">
      <c r="A755" s="111" t="s">
        <v>827</v>
      </c>
      <c r="B755" s="132" t="s">
        <v>1596</v>
      </c>
      <c r="C755" s="111">
        <v>185.42</v>
      </c>
      <c r="D755" s="111">
        <v>120.20188</v>
      </c>
      <c r="E755" s="111">
        <v>75</v>
      </c>
      <c r="F755" s="111">
        <v>2</v>
      </c>
      <c r="G755" s="133">
        <v>0</v>
      </c>
      <c r="H755" s="111">
        <v>14.5</v>
      </c>
      <c r="I755" s="111">
        <v>0</v>
      </c>
      <c r="J755" s="111">
        <v>0</v>
      </c>
      <c r="K755" s="111">
        <v>0</v>
      </c>
      <c r="L755">
        <v>0</v>
      </c>
    </row>
    <row r="756" spans="1:12" x14ac:dyDescent="0.2">
      <c r="A756" s="111" t="s">
        <v>828</v>
      </c>
      <c r="B756" s="132" t="s">
        <v>1596</v>
      </c>
      <c r="C756" s="111">
        <v>165.1</v>
      </c>
      <c r="D756" s="111">
        <v>56.698999999999998</v>
      </c>
      <c r="E756" s="111">
        <v>66</v>
      </c>
      <c r="F756" s="111">
        <v>2</v>
      </c>
      <c r="G756" s="133">
        <v>0</v>
      </c>
      <c r="H756" s="111">
        <v>27</v>
      </c>
      <c r="I756" s="111">
        <v>0.5</v>
      </c>
      <c r="J756" s="111">
        <v>0</v>
      </c>
      <c r="K756" s="111">
        <v>2.5</v>
      </c>
      <c r="L756">
        <v>0</v>
      </c>
    </row>
    <row r="757" spans="1:12" x14ac:dyDescent="0.2">
      <c r="A757" s="111" t="s">
        <v>829</v>
      </c>
      <c r="B757" s="132">
        <v>28</v>
      </c>
      <c r="C757" s="111">
        <v>180.34</v>
      </c>
      <c r="D757" s="111">
        <v>65.770840000000007</v>
      </c>
      <c r="E757" s="111">
        <v>74</v>
      </c>
      <c r="F757" s="111">
        <v>4</v>
      </c>
      <c r="G757" s="133">
        <v>0</v>
      </c>
      <c r="H757" s="111">
        <v>10</v>
      </c>
      <c r="I757" s="111">
        <v>1.75</v>
      </c>
      <c r="J757" s="111">
        <v>1</v>
      </c>
      <c r="K757" s="111">
        <v>1.75</v>
      </c>
      <c r="L757">
        <v>0</v>
      </c>
    </row>
    <row r="758" spans="1:12" x14ac:dyDescent="0.2">
      <c r="A758" s="111" t="s">
        <v>830</v>
      </c>
      <c r="B758" s="132">
        <v>39</v>
      </c>
      <c r="C758" s="111">
        <v>175.26</v>
      </c>
      <c r="D758" s="111">
        <v>77.110640000000004</v>
      </c>
      <c r="E758" s="111">
        <v>70.826982000000001</v>
      </c>
      <c r="F758" s="111">
        <v>3</v>
      </c>
      <c r="G758" s="133">
        <v>0</v>
      </c>
      <c r="H758" s="111">
        <v>13.333333333333334</v>
      </c>
      <c r="I758" s="111">
        <v>0.66666666666666663</v>
      </c>
      <c r="J758" s="111">
        <v>0</v>
      </c>
      <c r="K758" s="111">
        <v>0.33333333333333331</v>
      </c>
      <c r="L758">
        <v>0</v>
      </c>
    </row>
    <row r="759" spans="1:12" x14ac:dyDescent="0.2">
      <c r="A759" s="111" t="s">
        <v>831</v>
      </c>
      <c r="B759" s="132">
        <v>40</v>
      </c>
      <c r="C759" s="111">
        <v>187.96</v>
      </c>
      <c r="D759" s="111">
        <v>106.59412</v>
      </c>
      <c r="E759" s="111">
        <v>75.852372000000003</v>
      </c>
      <c r="F759" s="111">
        <v>1</v>
      </c>
      <c r="G759" s="133">
        <v>0</v>
      </c>
      <c r="H759" s="111">
        <v>1</v>
      </c>
      <c r="I759" s="111">
        <v>0</v>
      </c>
      <c r="J759" s="111">
        <v>0</v>
      </c>
      <c r="K759" s="111">
        <v>0</v>
      </c>
      <c r="L759">
        <v>1</v>
      </c>
    </row>
    <row r="760" spans="1:12" x14ac:dyDescent="0.2">
      <c r="A760" s="111" t="s">
        <v>832</v>
      </c>
      <c r="B760" s="132">
        <v>39</v>
      </c>
      <c r="C760" s="111">
        <v>177.8</v>
      </c>
      <c r="D760" s="111">
        <v>77.110640000000004</v>
      </c>
      <c r="E760" s="111">
        <v>73</v>
      </c>
      <c r="F760" s="111">
        <v>25</v>
      </c>
      <c r="G760" s="133">
        <v>0.6</v>
      </c>
      <c r="H760" s="111">
        <v>17.12</v>
      </c>
      <c r="I760" s="111">
        <v>1.6</v>
      </c>
      <c r="J760" s="111">
        <v>0.28000000000000003</v>
      </c>
      <c r="K760" s="111">
        <v>1.92</v>
      </c>
      <c r="L760">
        <v>0</v>
      </c>
    </row>
    <row r="761" spans="1:12" x14ac:dyDescent="0.2">
      <c r="A761" s="111" t="s">
        <v>833</v>
      </c>
      <c r="B761" s="132">
        <v>33</v>
      </c>
      <c r="C761" s="111">
        <v>180.34</v>
      </c>
      <c r="D761" s="111">
        <v>77.110640000000004</v>
      </c>
      <c r="E761" s="111">
        <v>72</v>
      </c>
      <c r="F761" s="111">
        <v>15</v>
      </c>
      <c r="G761" s="133">
        <v>0.4</v>
      </c>
      <c r="H761" s="111">
        <v>31.533333333333335</v>
      </c>
      <c r="I761" s="111">
        <v>0.66666666666666663</v>
      </c>
      <c r="J761" s="111">
        <v>0.8666666666666667</v>
      </c>
      <c r="K761" s="111">
        <v>0.33333333333333331</v>
      </c>
      <c r="L761">
        <v>0</v>
      </c>
    </row>
    <row r="762" spans="1:12" x14ac:dyDescent="0.2">
      <c r="A762" s="111" t="s">
        <v>834</v>
      </c>
      <c r="B762" s="132" t="s">
        <v>1596</v>
      </c>
      <c r="C762" s="111">
        <v>182.88</v>
      </c>
      <c r="D762" s="111">
        <v>77.110640000000004</v>
      </c>
      <c r="E762" s="111">
        <v>73.842215999999993</v>
      </c>
      <c r="F762" s="111">
        <v>1</v>
      </c>
      <c r="G762" s="133">
        <v>0</v>
      </c>
      <c r="H762" s="111">
        <v>1</v>
      </c>
      <c r="I762" s="111">
        <v>0</v>
      </c>
      <c r="J762" s="111">
        <v>1</v>
      </c>
      <c r="K762" s="111">
        <v>0</v>
      </c>
      <c r="L762">
        <v>0</v>
      </c>
    </row>
    <row r="763" spans="1:12" x14ac:dyDescent="0.2">
      <c r="A763" s="111" t="s">
        <v>835</v>
      </c>
      <c r="B763" s="132">
        <v>28</v>
      </c>
      <c r="C763" s="111">
        <v>190.5</v>
      </c>
      <c r="D763" s="111">
        <v>83.914519999999996</v>
      </c>
      <c r="E763" s="111">
        <v>79</v>
      </c>
      <c r="F763" s="111">
        <v>4</v>
      </c>
      <c r="G763" s="133">
        <v>0.75</v>
      </c>
      <c r="H763" s="111">
        <v>17.25</v>
      </c>
      <c r="I763" s="111">
        <v>0.75</v>
      </c>
      <c r="J763" s="111">
        <v>0.25</v>
      </c>
      <c r="K763" s="111">
        <v>0.75</v>
      </c>
      <c r="L763">
        <v>0</v>
      </c>
    </row>
    <row r="764" spans="1:12" x14ac:dyDescent="0.2">
      <c r="A764" s="111" t="s">
        <v>1565</v>
      </c>
      <c r="B764" s="132">
        <v>32</v>
      </c>
      <c r="C764" s="111">
        <v>162.56</v>
      </c>
      <c r="D764" s="111">
        <v>56.698999999999998</v>
      </c>
      <c r="E764" s="111">
        <v>64</v>
      </c>
      <c r="F764" s="111">
        <v>4</v>
      </c>
      <c r="G764" s="133">
        <v>0.25</v>
      </c>
      <c r="H764" s="111">
        <v>21.25</v>
      </c>
      <c r="I764" s="111">
        <v>0.75</v>
      </c>
      <c r="J764" s="111">
        <v>1.5</v>
      </c>
      <c r="K764" s="111">
        <v>2</v>
      </c>
      <c r="L764">
        <v>0</v>
      </c>
    </row>
    <row r="765" spans="1:12" x14ac:dyDescent="0.2">
      <c r="A765" s="111" t="s">
        <v>836</v>
      </c>
      <c r="B765" s="132">
        <v>35</v>
      </c>
      <c r="C765" s="111">
        <v>193.04</v>
      </c>
      <c r="D765" s="111">
        <v>106.59412</v>
      </c>
      <c r="E765" s="111">
        <v>77.862527999999998</v>
      </c>
      <c r="F765" s="111">
        <v>1</v>
      </c>
      <c r="G765" s="133">
        <v>0</v>
      </c>
      <c r="H765" s="111">
        <v>13</v>
      </c>
      <c r="I765" s="111">
        <v>0</v>
      </c>
      <c r="J765" s="111">
        <v>0</v>
      </c>
      <c r="K765" s="111">
        <v>0</v>
      </c>
      <c r="L765">
        <v>1</v>
      </c>
    </row>
    <row r="766" spans="1:12" x14ac:dyDescent="0.2">
      <c r="A766" s="111" t="s">
        <v>837</v>
      </c>
      <c r="B766" s="132">
        <v>27</v>
      </c>
      <c r="C766" s="111">
        <v>185.42</v>
      </c>
      <c r="D766" s="111">
        <v>70.306759999999997</v>
      </c>
      <c r="E766" s="111">
        <v>74</v>
      </c>
      <c r="F766" s="111">
        <v>2</v>
      </c>
      <c r="G766" s="133">
        <v>0</v>
      </c>
      <c r="H766" s="111">
        <v>14</v>
      </c>
      <c r="I766" s="111">
        <v>0</v>
      </c>
      <c r="J766" s="111">
        <v>0.5</v>
      </c>
      <c r="K766" s="111">
        <v>0.5</v>
      </c>
      <c r="L766">
        <v>0</v>
      </c>
    </row>
    <row r="767" spans="1:12" x14ac:dyDescent="0.2">
      <c r="A767" s="111" t="s">
        <v>838</v>
      </c>
      <c r="B767" s="132">
        <v>38</v>
      </c>
      <c r="C767" s="111">
        <v>177.8</v>
      </c>
      <c r="D767" s="111">
        <v>70.306759999999997</v>
      </c>
      <c r="E767" s="111">
        <v>71</v>
      </c>
      <c r="F767" s="111">
        <v>7</v>
      </c>
      <c r="G767" s="133">
        <v>0.42857142857142855</v>
      </c>
      <c r="H767" s="111">
        <v>28.142857142857142</v>
      </c>
      <c r="I767" s="111">
        <v>1.5714285714285714</v>
      </c>
      <c r="J767" s="111">
        <v>0</v>
      </c>
      <c r="K767" s="111">
        <v>0.7142857142857143</v>
      </c>
      <c r="L767">
        <v>0</v>
      </c>
    </row>
    <row r="768" spans="1:12" x14ac:dyDescent="0.2">
      <c r="A768" s="111" t="s">
        <v>839</v>
      </c>
      <c r="B768" s="132">
        <v>36</v>
      </c>
      <c r="C768" s="111">
        <v>177.8</v>
      </c>
      <c r="D768" s="111">
        <v>70.306759999999997</v>
      </c>
      <c r="E768" s="111">
        <v>72</v>
      </c>
      <c r="F768" s="111">
        <v>14</v>
      </c>
      <c r="G768" s="133">
        <v>0.42857142857142855</v>
      </c>
      <c r="H768" s="111">
        <v>31.428571428571427</v>
      </c>
      <c r="I768" s="111">
        <v>2.1428571428571428</v>
      </c>
      <c r="J768" s="111">
        <v>0.2857142857142857</v>
      </c>
      <c r="K768" s="111">
        <v>0.6428571428571429</v>
      </c>
      <c r="L768">
        <v>0</v>
      </c>
    </row>
    <row r="769" spans="1:12" x14ac:dyDescent="0.2">
      <c r="A769" s="111" t="s">
        <v>1572</v>
      </c>
      <c r="B769" s="132">
        <v>27</v>
      </c>
      <c r="C769" s="111">
        <v>175.26</v>
      </c>
      <c r="D769" s="111">
        <v>65.770840000000007</v>
      </c>
      <c r="E769" s="111">
        <v>72</v>
      </c>
      <c r="F769" s="111">
        <v>2</v>
      </c>
      <c r="G769" s="133">
        <v>0</v>
      </c>
      <c r="H769" s="111">
        <v>6.5</v>
      </c>
      <c r="I769" s="111">
        <v>0</v>
      </c>
      <c r="J769" s="111">
        <v>0</v>
      </c>
      <c r="K769" s="111">
        <v>0</v>
      </c>
      <c r="L769">
        <v>0</v>
      </c>
    </row>
    <row r="770" spans="1:12" x14ac:dyDescent="0.2">
      <c r="A770" s="111" t="s">
        <v>840</v>
      </c>
      <c r="B770" s="132">
        <v>39</v>
      </c>
      <c r="C770" s="111">
        <v>182.88</v>
      </c>
      <c r="D770" s="111">
        <v>92.986360000000005</v>
      </c>
      <c r="E770" s="111">
        <v>73.842215999999993</v>
      </c>
      <c r="F770" s="111">
        <v>1</v>
      </c>
      <c r="G770" s="133">
        <v>0</v>
      </c>
      <c r="H770" s="111">
        <v>1</v>
      </c>
      <c r="I770" s="111">
        <v>0</v>
      </c>
      <c r="J770" s="111">
        <v>0</v>
      </c>
      <c r="K770" s="111">
        <v>0</v>
      </c>
      <c r="L770">
        <v>1</v>
      </c>
    </row>
    <row r="771" spans="1:12" x14ac:dyDescent="0.2">
      <c r="A771" s="111" t="s">
        <v>841</v>
      </c>
      <c r="B771" s="132">
        <v>27</v>
      </c>
      <c r="C771" s="111">
        <v>185.42</v>
      </c>
      <c r="D771" s="111">
        <v>65.770840000000007</v>
      </c>
      <c r="E771" s="111">
        <v>75</v>
      </c>
      <c r="F771" s="111">
        <v>1</v>
      </c>
      <c r="G771" s="133">
        <v>1</v>
      </c>
      <c r="H771" s="111">
        <v>61</v>
      </c>
      <c r="I771" s="111">
        <v>2</v>
      </c>
      <c r="J771" s="111">
        <v>2</v>
      </c>
      <c r="K771" s="111">
        <v>1</v>
      </c>
      <c r="L771">
        <v>1</v>
      </c>
    </row>
    <row r="772" spans="1:12" x14ac:dyDescent="0.2">
      <c r="A772" s="111" t="s">
        <v>842</v>
      </c>
      <c r="B772" s="132" t="s">
        <v>1596</v>
      </c>
      <c r="C772" s="111">
        <v>190.5</v>
      </c>
      <c r="D772" s="111">
        <v>136.07759999999999</v>
      </c>
      <c r="E772" s="111">
        <v>76.85745</v>
      </c>
      <c r="F772" s="111">
        <v>1</v>
      </c>
      <c r="G772" s="133">
        <v>0</v>
      </c>
      <c r="H772" s="111">
        <v>0</v>
      </c>
      <c r="I772" s="111">
        <v>0</v>
      </c>
      <c r="J772" s="111">
        <v>0</v>
      </c>
      <c r="K772" s="111">
        <v>0</v>
      </c>
      <c r="L772">
        <v>0</v>
      </c>
    </row>
    <row r="773" spans="1:12" x14ac:dyDescent="0.2">
      <c r="A773" s="111" t="s">
        <v>843</v>
      </c>
      <c r="B773" s="132">
        <v>34</v>
      </c>
      <c r="C773" s="111">
        <v>165.1</v>
      </c>
      <c r="D773" s="111">
        <v>52.163080000000001</v>
      </c>
      <c r="E773" s="111">
        <v>65</v>
      </c>
      <c r="F773" s="111">
        <v>3</v>
      </c>
      <c r="G773" s="133">
        <v>0.66666666666666663</v>
      </c>
      <c r="H773" s="111">
        <v>26.666666666666668</v>
      </c>
      <c r="I773" s="111">
        <v>1.6666666666666667</v>
      </c>
      <c r="J773" s="111">
        <v>0</v>
      </c>
      <c r="K773" s="111">
        <v>0.33333333333333331</v>
      </c>
      <c r="L773">
        <v>0</v>
      </c>
    </row>
    <row r="774" spans="1:12" x14ac:dyDescent="0.2">
      <c r="A774" s="111" t="s">
        <v>844</v>
      </c>
      <c r="B774" s="132">
        <v>27</v>
      </c>
      <c r="C774" s="111">
        <v>167.64</v>
      </c>
      <c r="D774" s="111">
        <v>61.234920000000002</v>
      </c>
      <c r="E774" s="111">
        <v>69</v>
      </c>
      <c r="F774" s="111">
        <v>3</v>
      </c>
      <c r="G774" s="133">
        <v>1</v>
      </c>
      <c r="H774" s="111">
        <v>34.666666666666664</v>
      </c>
      <c r="I774" s="111">
        <v>2</v>
      </c>
      <c r="J774" s="111">
        <v>1</v>
      </c>
      <c r="K774" s="111">
        <v>4.333333333333333</v>
      </c>
      <c r="L774">
        <v>0</v>
      </c>
    </row>
    <row r="775" spans="1:12" x14ac:dyDescent="0.2">
      <c r="A775" s="111" t="s">
        <v>845</v>
      </c>
      <c r="B775" s="132">
        <v>35</v>
      </c>
      <c r="C775" s="111">
        <v>165.1</v>
      </c>
      <c r="D775" s="111">
        <v>61.234920000000002</v>
      </c>
      <c r="E775" s="111">
        <v>64</v>
      </c>
      <c r="F775" s="111">
        <v>2</v>
      </c>
      <c r="G775" s="133">
        <v>0</v>
      </c>
      <c r="H775" s="111">
        <v>41</v>
      </c>
      <c r="I775" s="111">
        <v>1</v>
      </c>
      <c r="J775" s="111">
        <v>0</v>
      </c>
      <c r="K775" s="111">
        <v>0.5</v>
      </c>
      <c r="L775">
        <v>0</v>
      </c>
    </row>
    <row r="776" spans="1:12" x14ac:dyDescent="0.2">
      <c r="A776" s="111" t="s">
        <v>846</v>
      </c>
      <c r="B776" s="132" t="s">
        <v>1596</v>
      </c>
      <c r="C776" s="111">
        <v>182.88</v>
      </c>
      <c r="D776" s="111">
        <v>77.110640000000004</v>
      </c>
      <c r="E776" s="111">
        <v>73.842215999999993</v>
      </c>
      <c r="F776" s="111">
        <v>2</v>
      </c>
      <c r="G776" s="133">
        <v>0</v>
      </c>
      <c r="H776" s="111">
        <v>14.5</v>
      </c>
      <c r="I776" s="111">
        <v>0</v>
      </c>
      <c r="J776" s="111">
        <v>0.5</v>
      </c>
      <c r="K776" s="111">
        <v>0</v>
      </c>
      <c r="L776">
        <v>0</v>
      </c>
    </row>
    <row r="777" spans="1:12" x14ac:dyDescent="0.2">
      <c r="A777" s="111" t="s">
        <v>847</v>
      </c>
      <c r="B777" s="132">
        <v>30</v>
      </c>
      <c r="C777" s="111">
        <v>170.18</v>
      </c>
      <c r="D777" s="111">
        <v>61.234920000000002</v>
      </c>
      <c r="E777" s="111">
        <v>67</v>
      </c>
      <c r="F777" s="111">
        <v>3</v>
      </c>
      <c r="G777" s="133">
        <v>0</v>
      </c>
      <c r="H777" s="111">
        <v>17</v>
      </c>
      <c r="I777" s="111">
        <v>0.33333333333333331</v>
      </c>
      <c r="J777" s="111">
        <v>0.66666666666666663</v>
      </c>
      <c r="K777" s="111">
        <v>0</v>
      </c>
      <c r="L777">
        <v>0</v>
      </c>
    </row>
    <row r="778" spans="1:12" x14ac:dyDescent="0.2">
      <c r="A778" s="111" t="s">
        <v>1588</v>
      </c>
      <c r="B778" s="132">
        <v>31</v>
      </c>
      <c r="C778" s="111">
        <v>175.26</v>
      </c>
      <c r="D778" s="111">
        <v>70.306759999999997</v>
      </c>
      <c r="E778" s="111">
        <v>70.826982000000001</v>
      </c>
      <c r="F778" s="111">
        <v>2</v>
      </c>
      <c r="G778" s="133">
        <v>0.5</v>
      </c>
      <c r="H778" s="111">
        <v>16</v>
      </c>
      <c r="I778" s="111">
        <v>1</v>
      </c>
      <c r="J778" s="111">
        <v>1</v>
      </c>
      <c r="K778" s="111">
        <v>3.5</v>
      </c>
      <c r="L778">
        <v>0</v>
      </c>
    </row>
    <row r="779" spans="1:12" x14ac:dyDescent="0.2">
      <c r="A779" s="111" t="s">
        <v>848</v>
      </c>
      <c r="B779" s="132">
        <v>35</v>
      </c>
      <c r="C779" s="111">
        <v>175.26</v>
      </c>
      <c r="D779" s="111">
        <v>65.770840000000007</v>
      </c>
      <c r="E779" s="111">
        <v>72</v>
      </c>
      <c r="F779" s="111">
        <v>5</v>
      </c>
      <c r="G779" s="133">
        <v>0.4</v>
      </c>
      <c r="H779" s="111">
        <v>28.6</v>
      </c>
      <c r="I779" s="111">
        <v>1.4</v>
      </c>
      <c r="J779" s="111">
        <v>0.4</v>
      </c>
      <c r="K779" s="111">
        <v>1.4</v>
      </c>
      <c r="L779">
        <v>0</v>
      </c>
    </row>
    <row r="780" spans="1:12" x14ac:dyDescent="0.2">
      <c r="A780" s="111" t="s">
        <v>1556</v>
      </c>
      <c r="B780" s="132">
        <v>32</v>
      </c>
      <c r="C780" s="111">
        <v>193.04</v>
      </c>
      <c r="D780" s="111">
        <v>107.95489600000001</v>
      </c>
      <c r="E780" s="111">
        <v>77</v>
      </c>
      <c r="F780" s="111">
        <v>14</v>
      </c>
      <c r="G780" s="133">
        <v>0.7857142857142857</v>
      </c>
      <c r="H780" s="111">
        <v>52.142857142857146</v>
      </c>
      <c r="I780" s="111">
        <v>0.35714285714285715</v>
      </c>
      <c r="J780" s="111">
        <v>7.1428571428571425E-2</v>
      </c>
      <c r="K780" s="111">
        <v>0.21428571428571427</v>
      </c>
      <c r="L780">
        <v>0</v>
      </c>
    </row>
    <row r="781" spans="1:12" x14ac:dyDescent="0.2">
      <c r="A781" s="111" t="s">
        <v>849</v>
      </c>
      <c r="B781" s="132">
        <v>31</v>
      </c>
      <c r="C781" s="111">
        <v>165.1</v>
      </c>
      <c r="D781" s="111">
        <v>56.698999999999998</v>
      </c>
      <c r="E781" s="111">
        <v>67</v>
      </c>
      <c r="F781" s="111">
        <v>7</v>
      </c>
      <c r="G781" s="133">
        <v>0.5714285714285714</v>
      </c>
      <c r="H781" s="111">
        <v>10.714285714285714</v>
      </c>
      <c r="I781" s="111">
        <v>1.4285714285714286</v>
      </c>
      <c r="J781" s="111">
        <v>0.14285714285714285</v>
      </c>
      <c r="K781" s="111">
        <v>1.4285714285714286</v>
      </c>
      <c r="L781">
        <v>0</v>
      </c>
    </row>
    <row r="782" spans="1:12" x14ac:dyDescent="0.2">
      <c r="A782" s="111" t="s">
        <v>850</v>
      </c>
      <c r="B782" s="132">
        <v>33</v>
      </c>
      <c r="C782" s="111">
        <v>182.88</v>
      </c>
      <c r="D782" s="111">
        <v>70.306759999999997</v>
      </c>
      <c r="E782" s="111">
        <v>73</v>
      </c>
      <c r="F782" s="111">
        <v>5</v>
      </c>
      <c r="G782" s="133">
        <v>0.2</v>
      </c>
      <c r="H782" s="111">
        <v>17.8</v>
      </c>
      <c r="I782" s="111">
        <v>0</v>
      </c>
      <c r="J782" s="111">
        <v>0.4</v>
      </c>
      <c r="K782" s="111">
        <v>0.2</v>
      </c>
      <c r="L782">
        <v>0</v>
      </c>
    </row>
    <row r="783" spans="1:12" x14ac:dyDescent="0.2">
      <c r="A783" s="111" t="s">
        <v>851</v>
      </c>
      <c r="B783" s="132">
        <v>33</v>
      </c>
      <c r="C783" s="111">
        <v>177.8</v>
      </c>
      <c r="D783" s="111">
        <v>70.306759999999997</v>
      </c>
      <c r="E783" s="111">
        <v>70</v>
      </c>
      <c r="F783" s="111">
        <v>7</v>
      </c>
      <c r="G783" s="133">
        <v>0.2857142857142857</v>
      </c>
      <c r="H783" s="111">
        <v>29.571428571428573</v>
      </c>
      <c r="I783" s="111">
        <v>1.5714285714285714</v>
      </c>
      <c r="J783" s="111">
        <v>0.7142857142857143</v>
      </c>
      <c r="K783" s="111">
        <v>1</v>
      </c>
      <c r="L783">
        <v>0</v>
      </c>
    </row>
    <row r="784" spans="1:12" x14ac:dyDescent="0.2">
      <c r="A784" s="111" t="s">
        <v>852</v>
      </c>
      <c r="B784" s="132">
        <v>38</v>
      </c>
      <c r="C784" s="111">
        <v>185.42</v>
      </c>
      <c r="D784" s="111">
        <v>106.59412</v>
      </c>
      <c r="E784" s="111">
        <v>74.847294000000005</v>
      </c>
      <c r="F784" s="111">
        <v>4</v>
      </c>
      <c r="G784" s="133">
        <v>0.25</v>
      </c>
      <c r="H784" s="111">
        <v>5</v>
      </c>
      <c r="I784" s="111">
        <v>0</v>
      </c>
      <c r="J784" s="111">
        <v>0</v>
      </c>
      <c r="K784" s="111">
        <v>0</v>
      </c>
      <c r="L784">
        <v>0</v>
      </c>
    </row>
    <row r="785" spans="1:12" x14ac:dyDescent="0.2">
      <c r="A785" s="111" t="s">
        <v>853</v>
      </c>
      <c r="B785" s="132" t="s">
        <v>1596</v>
      </c>
      <c r="C785" s="111">
        <v>177.8</v>
      </c>
      <c r="D785" s="111">
        <v>70.306759999999997</v>
      </c>
      <c r="E785" s="111">
        <v>71.832059999999998</v>
      </c>
      <c r="F785" s="111">
        <v>1</v>
      </c>
      <c r="G785" s="133">
        <v>0</v>
      </c>
      <c r="H785" s="111">
        <v>13</v>
      </c>
      <c r="I785" s="111">
        <v>0</v>
      </c>
      <c r="J785" s="111">
        <v>1</v>
      </c>
      <c r="K785" s="111">
        <v>0</v>
      </c>
      <c r="L785">
        <v>0</v>
      </c>
    </row>
    <row r="786" spans="1:12" x14ac:dyDescent="0.2">
      <c r="A786" s="111" t="s">
        <v>854</v>
      </c>
      <c r="B786" s="132" t="s">
        <v>1596</v>
      </c>
      <c r="C786" s="111">
        <v>180.34</v>
      </c>
      <c r="D786" s="111">
        <v>92.986360000000005</v>
      </c>
      <c r="E786" s="111">
        <v>78</v>
      </c>
      <c r="F786" s="111">
        <v>2</v>
      </c>
      <c r="G786" s="133">
        <v>0</v>
      </c>
      <c r="H786" s="111">
        <v>25.5</v>
      </c>
      <c r="I786" s="111">
        <v>1</v>
      </c>
      <c r="J786" s="111">
        <v>0.5</v>
      </c>
      <c r="K786" s="111">
        <v>0</v>
      </c>
      <c r="L786">
        <v>0</v>
      </c>
    </row>
    <row r="787" spans="1:12" x14ac:dyDescent="0.2">
      <c r="A787" s="111" t="s">
        <v>855</v>
      </c>
      <c r="B787" s="132">
        <v>26</v>
      </c>
      <c r="C787" s="111">
        <v>172.72</v>
      </c>
      <c r="D787" s="111">
        <v>65.770840000000007</v>
      </c>
      <c r="E787" s="111">
        <v>67</v>
      </c>
      <c r="F787" s="111">
        <v>3</v>
      </c>
      <c r="G787" s="133">
        <v>0.33333333333333331</v>
      </c>
      <c r="H787" s="111">
        <v>28.666666666666668</v>
      </c>
      <c r="I787" s="111">
        <v>0.66666666666666663</v>
      </c>
      <c r="J787" s="111">
        <v>0</v>
      </c>
      <c r="K787" s="111">
        <v>0</v>
      </c>
      <c r="L787">
        <v>0</v>
      </c>
    </row>
    <row r="788" spans="1:12" x14ac:dyDescent="0.2">
      <c r="A788" s="111" t="s">
        <v>856</v>
      </c>
      <c r="B788" s="132">
        <v>36</v>
      </c>
      <c r="C788" s="111">
        <v>180.34</v>
      </c>
      <c r="D788" s="111">
        <v>83.914519999999996</v>
      </c>
      <c r="E788" s="111">
        <v>72.837137999999996</v>
      </c>
      <c r="F788" s="111">
        <v>2</v>
      </c>
      <c r="G788" s="133">
        <v>0</v>
      </c>
      <c r="H788" s="111">
        <v>1</v>
      </c>
      <c r="I788" s="111">
        <v>0</v>
      </c>
      <c r="J788" s="111">
        <v>0.5</v>
      </c>
      <c r="K788" s="111">
        <v>0</v>
      </c>
      <c r="L788">
        <v>0</v>
      </c>
    </row>
    <row r="789" spans="1:12" x14ac:dyDescent="0.2">
      <c r="A789" s="111" t="s">
        <v>857</v>
      </c>
      <c r="B789" s="132">
        <v>40</v>
      </c>
      <c r="C789" s="111">
        <v>185.42</v>
      </c>
      <c r="D789" s="111">
        <v>102.0582</v>
      </c>
      <c r="E789" s="111">
        <v>73</v>
      </c>
      <c r="F789" s="111">
        <v>4</v>
      </c>
      <c r="G789" s="133">
        <v>0.5</v>
      </c>
      <c r="H789" s="111">
        <v>18.5</v>
      </c>
      <c r="I789" s="111">
        <v>1</v>
      </c>
      <c r="J789" s="111">
        <v>0</v>
      </c>
      <c r="K789" s="111">
        <v>0.5</v>
      </c>
      <c r="L789">
        <v>0</v>
      </c>
    </row>
    <row r="790" spans="1:12" x14ac:dyDescent="0.2">
      <c r="A790" s="111" t="s">
        <v>858</v>
      </c>
      <c r="B790" s="132">
        <v>34</v>
      </c>
      <c r="C790" s="111">
        <v>172.72</v>
      </c>
      <c r="D790" s="111">
        <v>70.306759999999997</v>
      </c>
      <c r="E790" s="111">
        <v>70</v>
      </c>
      <c r="F790" s="111">
        <v>6</v>
      </c>
      <c r="G790" s="133">
        <v>0.5</v>
      </c>
      <c r="H790" s="111">
        <v>28</v>
      </c>
      <c r="I790" s="111">
        <v>1.1666666666666667</v>
      </c>
      <c r="J790" s="111">
        <v>0</v>
      </c>
      <c r="K790" s="111">
        <v>0.33333333333333331</v>
      </c>
      <c r="L790">
        <v>1</v>
      </c>
    </row>
    <row r="791" spans="1:12" x14ac:dyDescent="0.2">
      <c r="A791" s="111" t="s">
        <v>859</v>
      </c>
      <c r="B791" s="132">
        <v>24</v>
      </c>
      <c r="C791" s="111">
        <v>170.18</v>
      </c>
      <c r="D791" s="111">
        <v>56.698999999999998</v>
      </c>
      <c r="E791" s="111">
        <v>66</v>
      </c>
      <c r="F791" s="111">
        <v>6</v>
      </c>
      <c r="G791" s="133">
        <v>0.66666666666666663</v>
      </c>
      <c r="H791" s="111">
        <v>41</v>
      </c>
      <c r="I791" s="111">
        <v>3.5</v>
      </c>
      <c r="J791" s="111">
        <v>0.5</v>
      </c>
      <c r="K791" s="111">
        <v>5.166666666666667</v>
      </c>
      <c r="L791">
        <v>1</v>
      </c>
    </row>
    <row r="792" spans="1:12" x14ac:dyDescent="0.2">
      <c r="A792" s="111" t="s">
        <v>860</v>
      </c>
      <c r="B792" s="132">
        <v>29</v>
      </c>
      <c r="C792" s="111">
        <v>187.96</v>
      </c>
      <c r="D792" s="111">
        <v>120.20188</v>
      </c>
      <c r="E792" s="111">
        <v>75.852372000000003</v>
      </c>
      <c r="F792" s="111">
        <v>1</v>
      </c>
      <c r="G792" s="133">
        <v>0</v>
      </c>
      <c r="H792" s="111">
        <v>17</v>
      </c>
      <c r="I792" s="111">
        <v>0</v>
      </c>
      <c r="J792" s="111">
        <v>0</v>
      </c>
      <c r="K792" s="111">
        <v>0</v>
      </c>
      <c r="L792">
        <v>0</v>
      </c>
    </row>
    <row r="793" spans="1:12" x14ac:dyDescent="0.2">
      <c r="A793" s="111" t="s">
        <v>861</v>
      </c>
      <c r="B793" s="132">
        <v>28</v>
      </c>
      <c r="C793" s="111">
        <v>165.1</v>
      </c>
      <c r="D793" s="111">
        <v>52.163080000000001</v>
      </c>
      <c r="E793" s="111">
        <v>64</v>
      </c>
      <c r="F793" s="111">
        <v>1</v>
      </c>
      <c r="G793" s="133">
        <v>1</v>
      </c>
      <c r="H793" s="111">
        <v>72</v>
      </c>
      <c r="I793" s="111">
        <v>3</v>
      </c>
      <c r="J793" s="111">
        <v>0</v>
      </c>
      <c r="K793" s="111">
        <v>5</v>
      </c>
      <c r="L793">
        <v>0</v>
      </c>
    </row>
    <row r="794" spans="1:12" x14ac:dyDescent="0.2">
      <c r="A794" s="111" t="s">
        <v>862</v>
      </c>
      <c r="B794" s="132">
        <v>46</v>
      </c>
      <c r="C794" s="111">
        <v>175.26</v>
      </c>
      <c r="D794" s="111">
        <v>77.110640000000004</v>
      </c>
      <c r="E794" s="111">
        <v>70.826982000000001</v>
      </c>
      <c r="F794" s="111">
        <v>2</v>
      </c>
      <c r="G794" s="133">
        <v>0.5</v>
      </c>
      <c r="H794" s="111">
        <v>6</v>
      </c>
      <c r="I794" s="111">
        <v>0</v>
      </c>
      <c r="J794" s="111">
        <v>0</v>
      </c>
      <c r="K794" s="111">
        <v>0</v>
      </c>
      <c r="L794">
        <v>1</v>
      </c>
    </row>
    <row r="795" spans="1:12" x14ac:dyDescent="0.2">
      <c r="A795" s="111" t="s">
        <v>1552</v>
      </c>
      <c r="B795" s="132">
        <v>34</v>
      </c>
      <c r="C795" s="111">
        <v>177.8</v>
      </c>
      <c r="D795" s="111">
        <v>70.306759999999997</v>
      </c>
      <c r="E795" s="111">
        <v>72</v>
      </c>
      <c r="F795" s="111">
        <v>6</v>
      </c>
      <c r="G795" s="133">
        <v>0.33333333333333331</v>
      </c>
      <c r="H795" s="111">
        <v>28</v>
      </c>
      <c r="I795" s="111">
        <v>0.33333333333333331</v>
      </c>
      <c r="J795" s="111">
        <v>0</v>
      </c>
      <c r="K795" s="111">
        <v>0</v>
      </c>
      <c r="L795">
        <v>0</v>
      </c>
    </row>
    <row r="796" spans="1:12" x14ac:dyDescent="0.2">
      <c r="A796" s="111" t="s">
        <v>863</v>
      </c>
      <c r="B796" s="132">
        <v>25</v>
      </c>
      <c r="C796" s="111">
        <v>162.56</v>
      </c>
      <c r="D796" s="111">
        <v>52.163080000000001</v>
      </c>
      <c r="E796" s="111">
        <v>65</v>
      </c>
      <c r="F796" s="111">
        <v>3</v>
      </c>
      <c r="G796" s="133">
        <v>0.33333333333333331</v>
      </c>
      <c r="H796" s="111">
        <v>43.333333333333336</v>
      </c>
      <c r="I796" s="111">
        <v>2.6666666666666665</v>
      </c>
      <c r="J796" s="111">
        <v>0.66666666666666663</v>
      </c>
      <c r="K796" s="111">
        <v>2.3333333333333335</v>
      </c>
      <c r="L796">
        <v>0</v>
      </c>
    </row>
    <row r="797" spans="1:12" x14ac:dyDescent="0.2">
      <c r="A797" s="111" t="s">
        <v>864</v>
      </c>
      <c r="B797" s="132">
        <v>32</v>
      </c>
      <c r="C797" s="111">
        <v>180.34</v>
      </c>
      <c r="D797" s="111">
        <v>70.306759999999997</v>
      </c>
      <c r="E797" s="111">
        <v>75</v>
      </c>
      <c r="F797" s="111">
        <v>3</v>
      </c>
      <c r="G797" s="133">
        <v>0.66666666666666663</v>
      </c>
      <c r="H797" s="111">
        <v>35.333333333333336</v>
      </c>
      <c r="I797" s="111">
        <v>2.3333333333333335</v>
      </c>
      <c r="J797" s="111">
        <v>0.33333333333333331</v>
      </c>
      <c r="K797" s="111">
        <v>1.3333333333333333</v>
      </c>
      <c r="L797">
        <v>0</v>
      </c>
    </row>
    <row r="798" spans="1:12" x14ac:dyDescent="0.2">
      <c r="A798" s="111" t="s">
        <v>865</v>
      </c>
      <c r="B798" s="132">
        <v>41</v>
      </c>
      <c r="C798" s="111">
        <v>190.5</v>
      </c>
      <c r="D798" s="111">
        <v>83.914519999999996</v>
      </c>
      <c r="E798" s="111">
        <v>74</v>
      </c>
      <c r="F798" s="111">
        <v>5</v>
      </c>
      <c r="G798" s="133">
        <v>0.4</v>
      </c>
      <c r="H798" s="111">
        <v>27.8</v>
      </c>
      <c r="I798" s="111">
        <v>1</v>
      </c>
      <c r="J798" s="111">
        <v>0.4</v>
      </c>
      <c r="K798" s="111">
        <v>0.8</v>
      </c>
      <c r="L798">
        <v>0</v>
      </c>
    </row>
    <row r="799" spans="1:12" x14ac:dyDescent="0.2">
      <c r="A799" s="111" t="s">
        <v>866</v>
      </c>
      <c r="B799" s="132">
        <v>39</v>
      </c>
      <c r="C799" s="111">
        <v>172.72</v>
      </c>
      <c r="D799" s="111">
        <v>70.306759999999997</v>
      </c>
      <c r="E799" s="111">
        <v>68</v>
      </c>
      <c r="F799" s="111">
        <v>3</v>
      </c>
      <c r="G799" s="133">
        <v>0</v>
      </c>
      <c r="H799" s="111">
        <v>13.666666666666666</v>
      </c>
      <c r="I799" s="111">
        <v>0.33333333333333331</v>
      </c>
      <c r="J799" s="111">
        <v>0</v>
      </c>
      <c r="K799" s="111">
        <v>0</v>
      </c>
      <c r="L799">
        <v>0</v>
      </c>
    </row>
    <row r="800" spans="1:12" x14ac:dyDescent="0.2">
      <c r="A800" s="111" t="s">
        <v>867</v>
      </c>
      <c r="B800" s="132">
        <v>28</v>
      </c>
      <c r="C800" s="111">
        <v>182.88</v>
      </c>
      <c r="D800" s="111">
        <v>77.110640000000004</v>
      </c>
      <c r="E800" s="111">
        <v>76</v>
      </c>
      <c r="F800" s="111">
        <v>2</v>
      </c>
      <c r="G800" s="133">
        <v>1</v>
      </c>
      <c r="H800" s="111">
        <v>31.5</v>
      </c>
      <c r="I800" s="111">
        <v>6</v>
      </c>
      <c r="J800" s="111">
        <v>0.5</v>
      </c>
      <c r="K800" s="111">
        <v>4</v>
      </c>
      <c r="L800">
        <v>0</v>
      </c>
    </row>
    <row r="801" spans="1:12" x14ac:dyDescent="0.2">
      <c r="A801" s="111" t="s">
        <v>868</v>
      </c>
      <c r="B801" s="132">
        <v>31</v>
      </c>
      <c r="C801" s="111">
        <v>182.88</v>
      </c>
      <c r="D801" s="111">
        <v>83.914519999999996</v>
      </c>
      <c r="E801" s="111">
        <v>75</v>
      </c>
      <c r="F801" s="111">
        <v>6</v>
      </c>
      <c r="G801" s="133">
        <v>0.33333333333333331</v>
      </c>
      <c r="H801" s="111">
        <v>15.166666666666666</v>
      </c>
      <c r="I801" s="111">
        <v>1.1666666666666667</v>
      </c>
      <c r="J801" s="111">
        <v>1</v>
      </c>
      <c r="K801" s="111">
        <v>0.66666666666666663</v>
      </c>
      <c r="L801">
        <v>0</v>
      </c>
    </row>
    <row r="802" spans="1:12" x14ac:dyDescent="0.2">
      <c r="A802" s="111" t="s">
        <v>869</v>
      </c>
      <c r="B802" s="132">
        <v>34</v>
      </c>
      <c r="C802" s="111">
        <v>177.8</v>
      </c>
      <c r="D802" s="111">
        <v>77.110640000000004</v>
      </c>
      <c r="E802" s="111">
        <v>72</v>
      </c>
      <c r="F802" s="111">
        <v>13</v>
      </c>
      <c r="G802" s="133">
        <v>0.61538461538461542</v>
      </c>
      <c r="H802" s="111">
        <v>28.846153846153847</v>
      </c>
      <c r="I802" s="111">
        <v>4.0769230769230766</v>
      </c>
      <c r="J802" s="111">
        <v>0.76923076923076927</v>
      </c>
      <c r="K802" s="111">
        <v>2.8461538461538463</v>
      </c>
      <c r="L802">
        <v>0</v>
      </c>
    </row>
    <row r="803" spans="1:12" x14ac:dyDescent="0.2">
      <c r="A803" s="111" t="s">
        <v>870</v>
      </c>
      <c r="B803" s="132">
        <v>31</v>
      </c>
      <c r="C803" s="111">
        <v>160.02000000000001</v>
      </c>
      <c r="D803" s="111">
        <v>52.163080000000001</v>
      </c>
      <c r="E803" s="111">
        <v>65</v>
      </c>
      <c r="F803" s="111">
        <v>1</v>
      </c>
      <c r="G803" s="133">
        <v>1</v>
      </c>
      <c r="H803" s="111">
        <v>66</v>
      </c>
      <c r="I803" s="111">
        <v>0</v>
      </c>
      <c r="J803" s="111">
        <v>0</v>
      </c>
      <c r="K803" s="111">
        <v>2</v>
      </c>
      <c r="L803">
        <v>0</v>
      </c>
    </row>
    <row r="804" spans="1:12" x14ac:dyDescent="0.2">
      <c r="A804" s="111" t="s">
        <v>871</v>
      </c>
      <c r="B804" s="132">
        <v>35</v>
      </c>
      <c r="C804" s="111">
        <v>172.72</v>
      </c>
      <c r="D804" s="111">
        <v>65.770840000000007</v>
      </c>
      <c r="E804" s="111">
        <v>66</v>
      </c>
      <c r="F804" s="111">
        <v>5</v>
      </c>
      <c r="G804" s="133">
        <v>0.4</v>
      </c>
      <c r="H804" s="111">
        <v>15.8</v>
      </c>
      <c r="I804" s="111">
        <v>0.8</v>
      </c>
      <c r="J804" s="111">
        <v>0.2</v>
      </c>
      <c r="K804" s="111">
        <v>1.8</v>
      </c>
      <c r="L804">
        <v>0</v>
      </c>
    </row>
    <row r="805" spans="1:12" x14ac:dyDescent="0.2">
      <c r="A805" s="111" t="s">
        <v>872</v>
      </c>
      <c r="B805" s="132">
        <v>37</v>
      </c>
      <c r="C805" s="111">
        <v>180.34</v>
      </c>
      <c r="D805" s="111">
        <v>92.986360000000005</v>
      </c>
      <c r="E805" s="111">
        <v>70</v>
      </c>
      <c r="F805" s="111">
        <v>2</v>
      </c>
      <c r="G805" s="133">
        <v>0</v>
      </c>
      <c r="H805" s="111">
        <v>10.5</v>
      </c>
      <c r="I805" s="111">
        <v>1</v>
      </c>
      <c r="J805" s="111">
        <v>0</v>
      </c>
      <c r="K805" s="111">
        <v>0.5</v>
      </c>
      <c r="L805">
        <v>0</v>
      </c>
    </row>
    <row r="806" spans="1:12" x14ac:dyDescent="0.2">
      <c r="A806" s="111" t="s">
        <v>873</v>
      </c>
      <c r="B806" s="132">
        <v>29</v>
      </c>
      <c r="C806" s="111">
        <v>180.34</v>
      </c>
      <c r="D806" s="111">
        <v>70.306759999999997</v>
      </c>
      <c r="E806" s="111">
        <v>73</v>
      </c>
      <c r="F806" s="111">
        <v>4</v>
      </c>
      <c r="G806" s="133">
        <v>0.25</v>
      </c>
      <c r="H806" s="111">
        <v>29.75</v>
      </c>
      <c r="I806" s="111">
        <v>1.75</v>
      </c>
      <c r="J806" s="111">
        <v>0</v>
      </c>
      <c r="K806" s="111">
        <v>2</v>
      </c>
      <c r="L806">
        <v>1</v>
      </c>
    </row>
    <row r="807" spans="1:12" x14ac:dyDescent="0.2">
      <c r="A807" s="111" t="s">
        <v>1595</v>
      </c>
      <c r="B807" s="132">
        <v>47</v>
      </c>
      <c r="C807" s="111">
        <v>180.34</v>
      </c>
      <c r="D807" s="111">
        <v>90.264808000000002</v>
      </c>
      <c r="E807" s="111">
        <v>72.837137999999996</v>
      </c>
      <c r="F807" s="111">
        <v>1</v>
      </c>
      <c r="G807" s="133">
        <v>1</v>
      </c>
      <c r="H807" s="111">
        <v>20</v>
      </c>
      <c r="I807" s="111">
        <v>1</v>
      </c>
      <c r="J807" s="111">
        <v>0</v>
      </c>
      <c r="K807" s="111">
        <v>0</v>
      </c>
      <c r="L807">
        <v>1</v>
      </c>
    </row>
    <row r="808" spans="1:12" x14ac:dyDescent="0.2">
      <c r="A808" s="111" t="s">
        <v>874</v>
      </c>
      <c r="B808" s="132" t="s">
        <v>1596</v>
      </c>
      <c r="C808" s="111">
        <v>182.88</v>
      </c>
      <c r="D808" s="111">
        <v>106.59412</v>
      </c>
      <c r="E808" s="111">
        <v>73.842215999999993</v>
      </c>
      <c r="F808" s="111">
        <v>1</v>
      </c>
      <c r="G808" s="133">
        <v>0</v>
      </c>
      <c r="H808" s="111">
        <v>1</v>
      </c>
      <c r="I808" s="111">
        <v>2</v>
      </c>
      <c r="J808" s="111">
        <v>1</v>
      </c>
      <c r="K808" s="111">
        <v>1</v>
      </c>
      <c r="L808">
        <v>0</v>
      </c>
    </row>
    <row r="809" spans="1:12" x14ac:dyDescent="0.2">
      <c r="A809" s="111" t="s">
        <v>875</v>
      </c>
      <c r="B809" s="132">
        <v>32</v>
      </c>
      <c r="C809" s="111">
        <v>180.34</v>
      </c>
      <c r="D809" s="111">
        <v>77.110640000000004</v>
      </c>
      <c r="E809" s="111">
        <v>73</v>
      </c>
      <c r="F809" s="111">
        <v>4</v>
      </c>
      <c r="G809" s="133">
        <v>0.25</v>
      </c>
      <c r="H809" s="111">
        <v>36.25</v>
      </c>
      <c r="I809" s="111">
        <v>1.5</v>
      </c>
      <c r="J809" s="111">
        <v>0.5</v>
      </c>
      <c r="K809" s="111">
        <v>0.25</v>
      </c>
      <c r="L809">
        <v>1</v>
      </c>
    </row>
    <row r="810" spans="1:12" x14ac:dyDescent="0.2">
      <c r="A810" s="111" t="s">
        <v>876</v>
      </c>
      <c r="B810" s="132">
        <v>31</v>
      </c>
      <c r="C810" s="111">
        <v>182.88</v>
      </c>
      <c r="D810" s="111">
        <v>92.986360000000005</v>
      </c>
      <c r="E810" s="111">
        <v>73</v>
      </c>
      <c r="F810" s="111">
        <v>1</v>
      </c>
      <c r="G810" s="133">
        <v>0</v>
      </c>
      <c r="H810" s="111">
        <v>0</v>
      </c>
      <c r="I810" s="111">
        <v>0</v>
      </c>
      <c r="J810" s="111">
        <v>0</v>
      </c>
      <c r="K810" s="111">
        <v>0</v>
      </c>
      <c r="L810">
        <v>0</v>
      </c>
    </row>
    <row r="811" spans="1:12" x14ac:dyDescent="0.2">
      <c r="A811" s="111" t="s">
        <v>877</v>
      </c>
      <c r="B811" s="132">
        <v>58</v>
      </c>
      <c r="C811" s="111">
        <v>180.34</v>
      </c>
      <c r="D811" s="111">
        <v>90.718400000000003</v>
      </c>
      <c r="E811" s="111">
        <v>72.837137999999996</v>
      </c>
      <c r="F811" s="111">
        <v>3</v>
      </c>
      <c r="G811" s="133">
        <v>0.66666666666666663</v>
      </c>
      <c r="H811" s="111">
        <v>15.333333333333334</v>
      </c>
      <c r="I811" s="111">
        <v>0</v>
      </c>
      <c r="J811" s="111">
        <v>0.33333333333333331</v>
      </c>
      <c r="K811" s="111">
        <v>0.33333333333333331</v>
      </c>
      <c r="L811">
        <v>0</v>
      </c>
    </row>
    <row r="812" spans="1:12" x14ac:dyDescent="0.2">
      <c r="A812" s="111" t="s">
        <v>878</v>
      </c>
      <c r="B812" s="132">
        <v>41</v>
      </c>
      <c r="C812" s="111">
        <v>187.96</v>
      </c>
      <c r="D812" s="111">
        <v>83.914519999999996</v>
      </c>
      <c r="E812" s="111">
        <v>76</v>
      </c>
      <c r="F812" s="111">
        <v>13</v>
      </c>
      <c r="G812" s="133">
        <v>0.46153846153846156</v>
      </c>
      <c r="H812" s="111">
        <v>41.384615384615387</v>
      </c>
      <c r="I812" s="111">
        <v>0.23076923076923078</v>
      </c>
      <c r="J812" s="111">
        <v>0</v>
      </c>
      <c r="K812" s="111">
        <v>0</v>
      </c>
      <c r="L812">
        <v>0</v>
      </c>
    </row>
    <row r="813" spans="1:12" x14ac:dyDescent="0.2">
      <c r="A813" s="111" t="s">
        <v>879</v>
      </c>
      <c r="B813" s="132">
        <v>51</v>
      </c>
      <c r="C813" s="111">
        <v>182.88</v>
      </c>
      <c r="D813" s="111">
        <v>83.914519999999996</v>
      </c>
      <c r="E813" s="111">
        <v>73.842215999999993</v>
      </c>
      <c r="F813" s="111">
        <v>2</v>
      </c>
      <c r="G813" s="133">
        <v>0.5</v>
      </c>
      <c r="H813" s="111">
        <v>5.5</v>
      </c>
      <c r="I813" s="111">
        <v>1.5</v>
      </c>
      <c r="J813" s="111">
        <v>1.5</v>
      </c>
      <c r="K813" s="111">
        <v>3.5</v>
      </c>
      <c r="L813">
        <v>0</v>
      </c>
    </row>
    <row r="814" spans="1:12" x14ac:dyDescent="0.2">
      <c r="A814" s="111" t="s">
        <v>880</v>
      </c>
      <c r="B814" s="132">
        <v>35</v>
      </c>
      <c r="C814" s="111">
        <v>182.88</v>
      </c>
      <c r="D814" s="111">
        <v>77.110640000000004</v>
      </c>
      <c r="E814" s="111">
        <v>75</v>
      </c>
      <c r="F814" s="111">
        <v>4</v>
      </c>
      <c r="G814" s="133">
        <v>0</v>
      </c>
      <c r="H814" s="111">
        <v>31.25</v>
      </c>
      <c r="I814" s="111">
        <v>1.5</v>
      </c>
      <c r="J814" s="111">
        <v>0.25</v>
      </c>
      <c r="K814" s="111">
        <v>2</v>
      </c>
      <c r="L814">
        <v>0</v>
      </c>
    </row>
    <row r="815" spans="1:12" x14ac:dyDescent="0.2">
      <c r="A815" s="111" t="s">
        <v>881</v>
      </c>
      <c r="B815" s="132">
        <v>39</v>
      </c>
      <c r="C815" s="111">
        <v>172.72</v>
      </c>
      <c r="D815" s="111">
        <v>70.306759999999997</v>
      </c>
      <c r="E815" s="111">
        <v>69.821904000000004</v>
      </c>
      <c r="F815" s="111">
        <v>1</v>
      </c>
      <c r="G815" s="133">
        <v>0</v>
      </c>
      <c r="H815" s="111">
        <v>0</v>
      </c>
      <c r="I815" s="111">
        <v>0</v>
      </c>
      <c r="J815" s="111">
        <v>0</v>
      </c>
      <c r="K815" s="111">
        <v>0</v>
      </c>
      <c r="L815">
        <v>0</v>
      </c>
    </row>
    <row r="816" spans="1:12" x14ac:dyDescent="0.2">
      <c r="A816" s="111" t="s">
        <v>882</v>
      </c>
      <c r="B816" s="132" t="s">
        <v>1596</v>
      </c>
      <c r="C816" s="111">
        <v>172.72</v>
      </c>
      <c r="D816" s="111">
        <v>61.234920000000002</v>
      </c>
      <c r="E816" s="111">
        <v>67</v>
      </c>
      <c r="F816" s="111">
        <v>1</v>
      </c>
      <c r="G816" s="133">
        <v>0</v>
      </c>
      <c r="H816" s="111">
        <v>76</v>
      </c>
      <c r="I816" s="111">
        <v>0</v>
      </c>
      <c r="J816" s="111">
        <v>0</v>
      </c>
      <c r="K816" s="111">
        <v>0</v>
      </c>
      <c r="L816">
        <v>0</v>
      </c>
    </row>
    <row r="817" spans="1:12" x14ac:dyDescent="0.2">
      <c r="A817" s="111" t="s">
        <v>883</v>
      </c>
      <c r="B817" s="132">
        <v>25</v>
      </c>
      <c r="C817" s="111">
        <v>175.26</v>
      </c>
      <c r="D817" s="111">
        <v>77.110640000000004</v>
      </c>
      <c r="E817" s="111">
        <v>71</v>
      </c>
      <c r="F817" s="111">
        <v>8</v>
      </c>
      <c r="G817" s="133">
        <v>0.75</v>
      </c>
      <c r="H817" s="111">
        <v>41.5</v>
      </c>
      <c r="I817" s="111">
        <v>1.125</v>
      </c>
      <c r="J817" s="111">
        <v>0.25</v>
      </c>
      <c r="K817" s="111">
        <v>1.875</v>
      </c>
      <c r="L817">
        <v>1</v>
      </c>
    </row>
    <row r="818" spans="1:12" x14ac:dyDescent="0.2">
      <c r="A818" s="111" t="s">
        <v>884</v>
      </c>
      <c r="B818" s="132">
        <v>52</v>
      </c>
      <c r="C818" s="111">
        <v>185.42</v>
      </c>
      <c r="D818" s="111">
        <v>92.986360000000005</v>
      </c>
      <c r="E818" s="111">
        <v>72</v>
      </c>
      <c r="F818" s="111">
        <v>15</v>
      </c>
      <c r="G818" s="133">
        <v>0.46666666666666667</v>
      </c>
      <c r="H818" s="111">
        <v>7.8666666666666663</v>
      </c>
      <c r="I818" s="111">
        <v>0.53333333333333333</v>
      </c>
      <c r="J818" s="111">
        <v>0.73333333333333328</v>
      </c>
      <c r="K818" s="111">
        <v>0.53333333333333333</v>
      </c>
      <c r="L818">
        <v>0</v>
      </c>
    </row>
    <row r="819" spans="1:12" x14ac:dyDescent="0.2">
      <c r="A819" s="111" t="s">
        <v>885</v>
      </c>
      <c r="B819" s="132">
        <v>34</v>
      </c>
      <c r="C819" s="111">
        <v>172.72</v>
      </c>
      <c r="D819" s="111">
        <v>61.234920000000002</v>
      </c>
      <c r="E819" s="111">
        <v>71</v>
      </c>
      <c r="F819" s="111">
        <v>4</v>
      </c>
      <c r="G819" s="133">
        <v>0.5</v>
      </c>
      <c r="H819" s="111">
        <v>22.5</v>
      </c>
      <c r="I819" s="111">
        <v>0.5</v>
      </c>
      <c r="J819" s="111">
        <v>0.25</v>
      </c>
      <c r="K819" s="111">
        <v>0.5</v>
      </c>
      <c r="L819">
        <v>0</v>
      </c>
    </row>
    <row r="820" spans="1:12" x14ac:dyDescent="0.2">
      <c r="A820" s="111" t="s">
        <v>886</v>
      </c>
      <c r="B820" s="132">
        <v>34</v>
      </c>
      <c r="C820" s="111">
        <v>198.12</v>
      </c>
      <c r="D820" s="111">
        <v>83.914519999999996</v>
      </c>
      <c r="E820" s="111">
        <v>79</v>
      </c>
      <c r="F820" s="111">
        <v>13</v>
      </c>
      <c r="G820" s="133">
        <v>0.53846153846153844</v>
      </c>
      <c r="H820" s="111">
        <v>20.23076923076923</v>
      </c>
      <c r="I820" s="111">
        <v>0.38461538461538464</v>
      </c>
      <c r="J820" s="111">
        <v>1.3076923076923077</v>
      </c>
      <c r="K820" s="111">
        <v>0.61538461538461542</v>
      </c>
      <c r="L820">
        <v>0</v>
      </c>
    </row>
    <row r="821" spans="1:12" x14ac:dyDescent="0.2">
      <c r="A821" s="111" t="s">
        <v>887</v>
      </c>
      <c r="B821" s="132">
        <v>40</v>
      </c>
      <c r="C821" s="111">
        <v>182.88</v>
      </c>
      <c r="D821" s="111">
        <v>77.110640000000004</v>
      </c>
      <c r="E821" s="111">
        <v>73.842215999999993</v>
      </c>
      <c r="F821" s="111">
        <v>1</v>
      </c>
      <c r="G821" s="133">
        <v>0</v>
      </c>
      <c r="H821" s="111">
        <v>3</v>
      </c>
      <c r="I821" s="111">
        <v>0</v>
      </c>
      <c r="J821" s="111">
        <v>0</v>
      </c>
      <c r="K821" s="111">
        <v>0</v>
      </c>
      <c r="L821">
        <v>0</v>
      </c>
    </row>
    <row r="822" spans="1:12" x14ac:dyDescent="0.2">
      <c r="A822" s="111" t="s">
        <v>888</v>
      </c>
      <c r="B822" s="132">
        <v>40</v>
      </c>
      <c r="C822" s="111">
        <v>177.8</v>
      </c>
      <c r="D822" s="111">
        <v>65.770840000000007</v>
      </c>
      <c r="E822" s="111">
        <v>74</v>
      </c>
      <c r="F822" s="111">
        <v>17</v>
      </c>
      <c r="G822" s="133">
        <v>0.70588235294117652</v>
      </c>
      <c r="H822" s="111">
        <v>26.705882352941178</v>
      </c>
      <c r="I822" s="111">
        <v>1.5294117647058822</v>
      </c>
      <c r="J822" s="111">
        <v>0.76470588235294112</v>
      </c>
      <c r="K822" s="111">
        <v>2.3529411764705883</v>
      </c>
      <c r="L822">
        <v>1</v>
      </c>
    </row>
    <row r="823" spans="1:12" x14ac:dyDescent="0.2">
      <c r="A823" s="111" t="s">
        <v>889</v>
      </c>
      <c r="B823" s="132">
        <v>32</v>
      </c>
      <c r="C823" s="111">
        <v>177.8</v>
      </c>
      <c r="D823" s="111">
        <v>77.110640000000004</v>
      </c>
      <c r="E823" s="111">
        <v>74</v>
      </c>
      <c r="F823" s="111">
        <v>8</v>
      </c>
      <c r="G823" s="133">
        <v>0.5</v>
      </c>
      <c r="H823" s="111">
        <v>37.375</v>
      </c>
      <c r="I823" s="111">
        <v>1</v>
      </c>
      <c r="J823" s="111">
        <v>0.625</v>
      </c>
      <c r="K823" s="111">
        <v>1.5</v>
      </c>
      <c r="L823">
        <v>0</v>
      </c>
    </row>
    <row r="824" spans="1:12" x14ac:dyDescent="0.2">
      <c r="A824" s="111" t="s">
        <v>890</v>
      </c>
      <c r="B824" s="132">
        <v>45</v>
      </c>
      <c r="C824" s="111">
        <v>187.96</v>
      </c>
      <c r="D824" s="111">
        <v>120.20188</v>
      </c>
      <c r="E824" s="111">
        <v>75.852372000000003</v>
      </c>
      <c r="F824" s="111">
        <v>1</v>
      </c>
      <c r="G824" s="133">
        <v>0</v>
      </c>
      <c r="H824" s="111">
        <v>8</v>
      </c>
      <c r="I824" s="111">
        <v>0</v>
      </c>
      <c r="J824" s="111">
        <v>0</v>
      </c>
      <c r="K824" s="111">
        <v>0</v>
      </c>
      <c r="L824">
        <v>0</v>
      </c>
    </row>
    <row r="825" spans="1:12" x14ac:dyDescent="0.2">
      <c r="A825" s="111" t="s">
        <v>891</v>
      </c>
      <c r="B825" s="132">
        <v>36</v>
      </c>
      <c r="C825" s="111">
        <v>177.8</v>
      </c>
      <c r="D825" s="111">
        <v>77.110640000000004</v>
      </c>
      <c r="E825" s="111">
        <v>74</v>
      </c>
      <c r="F825" s="111">
        <v>5</v>
      </c>
      <c r="G825" s="133">
        <v>0.4</v>
      </c>
      <c r="H825" s="111">
        <v>29</v>
      </c>
      <c r="I825" s="111">
        <v>0.2</v>
      </c>
      <c r="J825" s="111">
        <v>0.6</v>
      </c>
      <c r="K825" s="111">
        <v>0.2</v>
      </c>
      <c r="L825">
        <v>0</v>
      </c>
    </row>
    <row r="826" spans="1:12" x14ac:dyDescent="0.2">
      <c r="A826" s="111" t="s">
        <v>892</v>
      </c>
      <c r="B826" s="132">
        <v>35</v>
      </c>
      <c r="C826" s="111">
        <v>180.34</v>
      </c>
      <c r="D826" s="111">
        <v>83.914519999999996</v>
      </c>
      <c r="E826" s="111">
        <v>77</v>
      </c>
      <c r="F826" s="111">
        <v>5</v>
      </c>
      <c r="G826" s="133">
        <v>0.2</v>
      </c>
      <c r="H826" s="111">
        <v>17.399999999999999</v>
      </c>
      <c r="I826" s="111">
        <v>0.2</v>
      </c>
      <c r="J826" s="111">
        <v>0.4</v>
      </c>
      <c r="K826" s="111">
        <v>0.6</v>
      </c>
      <c r="L826">
        <v>1</v>
      </c>
    </row>
    <row r="827" spans="1:12" x14ac:dyDescent="0.2">
      <c r="A827" s="111" t="s">
        <v>893</v>
      </c>
      <c r="B827" s="132">
        <v>42</v>
      </c>
      <c r="C827" s="111">
        <v>187.96</v>
      </c>
      <c r="D827" s="111">
        <v>106.59412</v>
      </c>
      <c r="E827" s="111">
        <v>75.852372000000003</v>
      </c>
      <c r="F827" s="111">
        <v>2</v>
      </c>
      <c r="G827" s="133">
        <v>0.5</v>
      </c>
      <c r="H827" s="111">
        <v>16</v>
      </c>
      <c r="I827" s="111">
        <v>3</v>
      </c>
      <c r="J827" s="111">
        <v>0.5</v>
      </c>
      <c r="K827" s="111">
        <v>3</v>
      </c>
      <c r="L827">
        <v>0</v>
      </c>
    </row>
    <row r="828" spans="1:12" x14ac:dyDescent="0.2">
      <c r="A828" s="111" t="s">
        <v>894</v>
      </c>
      <c r="B828" s="132" t="s">
        <v>1596</v>
      </c>
      <c r="C828" s="111">
        <v>177.8</v>
      </c>
      <c r="D828" s="111">
        <v>90.264808000000002</v>
      </c>
      <c r="E828" s="111">
        <v>71.832059999999998</v>
      </c>
      <c r="F828" s="111">
        <v>3</v>
      </c>
      <c r="G828" s="133">
        <v>0.66666666666666663</v>
      </c>
      <c r="H828" s="111">
        <v>7.666666666666667</v>
      </c>
      <c r="I828" s="111">
        <v>1.3333333333333333</v>
      </c>
      <c r="J828" s="111">
        <v>0.33333333333333331</v>
      </c>
      <c r="K828" s="111">
        <v>2</v>
      </c>
      <c r="L828">
        <v>0</v>
      </c>
    </row>
    <row r="829" spans="1:12" x14ac:dyDescent="0.2">
      <c r="A829" s="111" t="s">
        <v>895</v>
      </c>
      <c r="B829" s="132">
        <v>46</v>
      </c>
      <c r="C829" s="111">
        <v>190.5</v>
      </c>
      <c r="D829" s="111">
        <v>111.13003999999999</v>
      </c>
      <c r="E829" s="111">
        <v>76.85745</v>
      </c>
      <c r="F829" s="111">
        <v>2</v>
      </c>
      <c r="G829" s="133">
        <v>0</v>
      </c>
      <c r="H829" s="111">
        <v>18</v>
      </c>
      <c r="I829" s="111">
        <v>0</v>
      </c>
      <c r="J829" s="111">
        <v>0</v>
      </c>
      <c r="K829" s="111">
        <v>0</v>
      </c>
      <c r="L829">
        <v>0</v>
      </c>
    </row>
    <row r="830" spans="1:12" x14ac:dyDescent="0.2">
      <c r="A830" s="111" t="s">
        <v>896</v>
      </c>
      <c r="B830" s="132">
        <v>24</v>
      </c>
      <c r="C830" s="111">
        <v>175.26</v>
      </c>
      <c r="D830" s="111">
        <v>70.306759999999997</v>
      </c>
      <c r="E830" s="111">
        <v>77</v>
      </c>
      <c r="F830" s="111">
        <v>6</v>
      </c>
      <c r="G830" s="133">
        <v>0.66666666666666663</v>
      </c>
      <c r="H830" s="111">
        <v>40.5</v>
      </c>
      <c r="I830" s="111">
        <v>2.3333333333333335</v>
      </c>
      <c r="J830" s="111">
        <v>1</v>
      </c>
      <c r="K830" s="111">
        <v>1.8333333333333333</v>
      </c>
      <c r="L830">
        <v>0</v>
      </c>
    </row>
    <row r="831" spans="1:12" x14ac:dyDescent="0.2">
      <c r="A831" s="111" t="s">
        <v>897</v>
      </c>
      <c r="B831" s="132">
        <v>45</v>
      </c>
      <c r="C831" s="111">
        <v>177.8</v>
      </c>
      <c r="D831" s="111">
        <v>92.986360000000005</v>
      </c>
      <c r="E831" s="111">
        <v>71.832059999999998</v>
      </c>
      <c r="F831" s="111">
        <v>6</v>
      </c>
      <c r="G831" s="133">
        <v>0.5</v>
      </c>
      <c r="H831" s="111">
        <v>14.5</v>
      </c>
      <c r="I831" s="111">
        <v>2.5</v>
      </c>
      <c r="J831" s="111">
        <v>0.5</v>
      </c>
      <c r="K831" s="111">
        <v>2.1666666666666665</v>
      </c>
      <c r="L831">
        <v>0</v>
      </c>
    </row>
    <row r="832" spans="1:12" x14ac:dyDescent="0.2">
      <c r="A832" s="111" t="s">
        <v>898</v>
      </c>
      <c r="B832" s="132">
        <v>54</v>
      </c>
      <c r="C832" s="111">
        <v>193.04</v>
      </c>
      <c r="D832" s="111">
        <v>124.73779999999999</v>
      </c>
      <c r="E832" s="111">
        <v>77.862527999999998</v>
      </c>
      <c r="F832" s="111">
        <v>2</v>
      </c>
      <c r="G832" s="133">
        <v>0.5</v>
      </c>
      <c r="H832" s="111">
        <v>7.5</v>
      </c>
      <c r="I832" s="111">
        <v>0</v>
      </c>
      <c r="J832" s="111">
        <v>0</v>
      </c>
      <c r="K832" s="111">
        <v>0</v>
      </c>
      <c r="L832">
        <v>0</v>
      </c>
    </row>
    <row r="833" spans="1:12" x14ac:dyDescent="0.2">
      <c r="A833" s="111" t="s">
        <v>899</v>
      </c>
      <c r="B833" s="132">
        <v>28</v>
      </c>
      <c r="C833" s="111">
        <v>177.8</v>
      </c>
      <c r="D833" s="111">
        <v>70.306759999999997</v>
      </c>
      <c r="E833" s="111">
        <v>70</v>
      </c>
      <c r="F833" s="111">
        <v>6</v>
      </c>
      <c r="G833" s="133">
        <v>1</v>
      </c>
      <c r="H833" s="111">
        <v>32.5</v>
      </c>
      <c r="I833" s="111">
        <v>5.833333333333333</v>
      </c>
      <c r="J833" s="111">
        <v>0.5</v>
      </c>
      <c r="K833" s="111">
        <v>3.5</v>
      </c>
      <c r="L833">
        <v>0</v>
      </c>
    </row>
    <row r="834" spans="1:12" x14ac:dyDescent="0.2">
      <c r="A834" s="111" t="s">
        <v>900</v>
      </c>
      <c r="B834" s="132">
        <v>35</v>
      </c>
      <c r="C834" s="111">
        <v>177.8</v>
      </c>
      <c r="D834" s="111">
        <v>77.110640000000004</v>
      </c>
      <c r="E834" s="111">
        <v>71</v>
      </c>
      <c r="F834" s="111">
        <v>4</v>
      </c>
      <c r="G834" s="133">
        <v>0.75</v>
      </c>
      <c r="H834" s="111">
        <v>15.75</v>
      </c>
      <c r="I834" s="111">
        <v>0.75</v>
      </c>
      <c r="J834" s="111">
        <v>0.25</v>
      </c>
      <c r="K834" s="111">
        <v>1.25</v>
      </c>
      <c r="L834">
        <v>0</v>
      </c>
    </row>
    <row r="835" spans="1:12" x14ac:dyDescent="0.2">
      <c r="A835" s="111" t="s">
        <v>901</v>
      </c>
      <c r="B835" s="132">
        <v>48</v>
      </c>
      <c r="C835" s="111">
        <v>190.5</v>
      </c>
      <c r="D835" s="111">
        <v>106.59412</v>
      </c>
      <c r="E835" s="111">
        <v>76.85745</v>
      </c>
      <c r="F835" s="111">
        <v>6</v>
      </c>
      <c r="G835" s="133">
        <v>0.33333333333333331</v>
      </c>
      <c r="H835" s="111">
        <v>6.166666666666667</v>
      </c>
      <c r="I835" s="111">
        <v>0.66666666666666663</v>
      </c>
      <c r="J835" s="111">
        <v>0.5</v>
      </c>
      <c r="K835" s="111">
        <v>1.6666666666666667</v>
      </c>
      <c r="L835">
        <v>0</v>
      </c>
    </row>
    <row r="836" spans="1:12" x14ac:dyDescent="0.2">
      <c r="A836" s="111" t="s">
        <v>902</v>
      </c>
      <c r="B836" s="132">
        <v>39</v>
      </c>
      <c r="C836" s="111">
        <v>182.88</v>
      </c>
      <c r="D836" s="111">
        <v>77.110640000000004</v>
      </c>
      <c r="E836" s="111">
        <v>73.842215999999993</v>
      </c>
      <c r="F836" s="111">
        <v>1</v>
      </c>
      <c r="G836" s="133">
        <v>0</v>
      </c>
      <c r="H836" s="111">
        <v>8</v>
      </c>
      <c r="I836" s="111">
        <v>0</v>
      </c>
      <c r="J836" s="111">
        <v>0</v>
      </c>
      <c r="K836" s="111">
        <v>0</v>
      </c>
      <c r="L836">
        <v>0</v>
      </c>
    </row>
    <row r="837" spans="1:12" x14ac:dyDescent="0.2">
      <c r="A837" s="111" t="s">
        <v>903</v>
      </c>
      <c r="B837" s="132">
        <v>53</v>
      </c>
      <c r="C837" s="111">
        <v>200.66</v>
      </c>
      <c r="D837" s="111">
        <v>158.75720000000001</v>
      </c>
      <c r="E837" s="111">
        <v>80.877762000000004</v>
      </c>
      <c r="F837" s="111">
        <v>1</v>
      </c>
      <c r="G837" s="133">
        <v>0</v>
      </c>
      <c r="H837" s="111">
        <v>1</v>
      </c>
      <c r="I837" s="111">
        <v>1</v>
      </c>
      <c r="J837" s="111">
        <v>0</v>
      </c>
      <c r="K837" s="111">
        <v>1</v>
      </c>
      <c r="L837">
        <v>1</v>
      </c>
    </row>
    <row r="838" spans="1:12" x14ac:dyDescent="0.2">
      <c r="A838" s="111" t="s">
        <v>904</v>
      </c>
      <c r="B838" s="132">
        <v>39</v>
      </c>
      <c r="C838" s="111">
        <v>172.72</v>
      </c>
      <c r="D838" s="111">
        <v>77.110640000000004</v>
      </c>
      <c r="E838" s="111">
        <v>69.821904000000004</v>
      </c>
      <c r="F838" s="111">
        <v>2</v>
      </c>
      <c r="G838" s="133">
        <v>0</v>
      </c>
      <c r="H838" s="111">
        <v>1.5</v>
      </c>
      <c r="I838" s="111">
        <v>1.5</v>
      </c>
      <c r="J838" s="111">
        <v>0</v>
      </c>
      <c r="K838" s="111">
        <v>1</v>
      </c>
      <c r="L838">
        <v>0</v>
      </c>
    </row>
    <row r="839" spans="1:12" x14ac:dyDescent="0.2">
      <c r="A839" s="111" t="s">
        <v>905</v>
      </c>
      <c r="B839" s="132">
        <v>34</v>
      </c>
      <c r="C839" s="111">
        <v>180.34</v>
      </c>
      <c r="D839" s="111">
        <v>104.32616</v>
      </c>
      <c r="E839" s="111">
        <v>73</v>
      </c>
      <c r="F839" s="111">
        <v>2</v>
      </c>
      <c r="G839" s="133">
        <v>0</v>
      </c>
      <c r="H839" s="111">
        <v>16</v>
      </c>
      <c r="I839" s="111">
        <v>0</v>
      </c>
      <c r="J839" s="111">
        <v>0</v>
      </c>
      <c r="K839" s="111">
        <v>0</v>
      </c>
      <c r="L839">
        <v>0</v>
      </c>
    </row>
    <row r="840" spans="1:12" x14ac:dyDescent="0.2">
      <c r="A840" s="111" t="s">
        <v>906</v>
      </c>
      <c r="B840" s="132">
        <v>35</v>
      </c>
      <c r="C840" s="111">
        <v>182.88</v>
      </c>
      <c r="D840" s="111">
        <v>77.110640000000004</v>
      </c>
      <c r="E840" s="111">
        <v>76</v>
      </c>
      <c r="F840" s="111">
        <v>3</v>
      </c>
      <c r="G840" s="133">
        <v>0</v>
      </c>
      <c r="H840" s="111">
        <v>23.333333333333332</v>
      </c>
      <c r="I840" s="111">
        <v>1.6666666666666667</v>
      </c>
      <c r="J840" s="111">
        <v>0</v>
      </c>
      <c r="K840" s="111">
        <v>2</v>
      </c>
      <c r="L840">
        <v>0</v>
      </c>
    </row>
    <row r="841" spans="1:12" x14ac:dyDescent="0.2">
      <c r="A841" s="111" t="s">
        <v>907</v>
      </c>
      <c r="B841" s="132" t="s">
        <v>1596</v>
      </c>
      <c r="C841" s="111">
        <v>182.88</v>
      </c>
      <c r="D841" s="111">
        <v>92.986360000000005</v>
      </c>
      <c r="E841" s="111">
        <v>73.842215999999993</v>
      </c>
      <c r="F841" s="111">
        <v>1</v>
      </c>
      <c r="G841" s="133">
        <v>0</v>
      </c>
      <c r="H841" s="111">
        <v>3</v>
      </c>
      <c r="I841" s="111">
        <v>0</v>
      </c>
      <c r="J841" s="111">
        <v>0</v>
      </c>
      <c r="K841" s="111">
        <v>0</v>
      </c>
      <c r="L841">
        <v>0</v>
      </c>
    </row>
    <row r="842" spans="1:12" x14ac:dyDescent="0.2">
      <c r="A842" s="111" t="s">
        <v>908</v>
      </c>
      <c r="B842" s="132" t="s">
        <v>1596</v>
      </c>
      <c r="C842" s="111">
        <v>185.42</v>
      </c>
      <c r="D842" s="111">
        <v>99.790239999999997</v>
      </c>
      <c r="E842" s="111">
        <v>74.847294000000005</v>
      </c>
      <c r="F842" s="111">
        <v>1</v>
      </c>
      <c r="G842" s="133">
        <v>0</v>
      </c>
      <c r="H842" s="111">
        <v>2</v>
      </c>
      <c r="I842" s="111">
        <v>0</v>
      </c>
      <c r="J842" s="111">
        <v>0</v>
      </c>
      <c r="K842" s="111">
        <v>0</v>
      </c>
      <c r="L842">
        <v>0</v>
      </c>
    </row>
    <row r="843" spans="1:12" x14ac:dyDescent="0.2">
      <c r="A843" s="111" t="s">
        <v>909</v>
      </c>
      <c r="B843" s="132">
        <v>27</v>
      </c>
      <c r="C843" s="111">
        <v>185.42</v>
      </c>
      <c r="D843" s="111">
        <v>83.914519999999996</v>
      </c>
      <c r="E843" s="111">
        <v>77</v>
      </c>
      <c r="F843" s="111">
        <v>4</v>
      </c>
      <c r="G843" s="133">
        <v>0.75</v>
      </c>
      <c r="H843" s="111">
        <v>36</v>
      </c>
      <c r="I843" s="111">
        <v>1</v>
      </c>
      <c r="J843" s="111">
        <v>0</v>
      </c>
      <c r="K843" s="111">
        <v>2</v>
      </c>
      <c r="L843">
        <v>1</v>
      </c>
    </row>
    <row r="844" spans="1:12" x14ac:dyDescent="0.2">
      <c r="A844" s="111" t="s">
        <v>910</v>
      </c>
      <c r="B844" s="132">
        <v>39</v>
      </c>
      <c r="C844" s="111">
        <v>185.42</v>
      </c>
      <c r="D844" s="111">
        <v>92.986360000000005</v>
      </c>
      <c r="E844" s="111">
        <v>77</v>
      </c>
      <c r="F844" s="111">
        <v>9</v>
      </c>
      <c r="G844" s="133">
        <v>0.66666666666666663</v>
      </c>
      <c r="H844" s="111">
        <v>32</v>
      </c>
      <c r="I844" s="111">
        <v>0.33333333333333331</v>
      </c>
      <c r="J844" s="111">
        <v>0.66666666666666663</v>
      </c>
      <c r="K844" s="111">
        <v>1.1111111111111112</v>
      </c>
      <c r="L844">
        <v>0</v>
      </c>
    </row>
    <row r="845" spans="1:12" x14ac:dyDescent="0.2">
      <c r="A845" s="111" t="s">
        <v>911</v>
      </c>
      <c r="B845" s="132">
        <v>40</v>
      </c>
      <c r="C845" s="111">
        <v>177.8</v>
      </c>
      <c r="D845" s="111">
        <v>76.203456000000003</v>
      </c>
      <c r="E845" s="111">
        <v>70</v>
      </c>
      <c r="F845" s="111">
        <v>4</v>
      </c>
      <c r="G845" s="133">
        <v>0.25</v>
      </c>
      <c r="H845" s="111">
        <v>16.5</v>
      </c>
      <c r="I845" s="111">
        <v>2</v>
      </c>
      <c r="J845" s="111">
        <v>0.75</v>
      </c>
      <c r="K845" s="111">
        <v>3.25</v>
      </c>
      <c r="L845">
        <v>0</v>
      </c>
    </row>
    <row r="846" spans="1:12" x14ac:dyDescent="0.2">
      <c r="A846" s="111" t="s">
        <v>912</v>
      </c>
      <c r="B846" s="132" t="s">
        <v>1596</v>
      </c>
      <c r="C846" s="111">
        <v>180.34</v>
      </c>
      <c r="D846" s="111">
        <v>65.770840000000007</v>
      </c>
      <c r="E846" s="111">
        <v>70</v>
      </c>
      <c r="F846" s="111">
        <v>1</v>
      </c>
      <c r="G846" s="133">
        <v>0</v>
      </c>
      <c r="H846" s="111">
        <v>41</v>
      </c>
      <c r="I846" s="111">
        <v>1</v>
      </c>
      <c r="J846" s="111">
        <v>2</v>
      </c>
      <c r="K846" s="111">
        <v>0</v>
      </c>
      <c r="L846">
        <v>0</v>
      </c>
    </row>
    <row r="847" spans="1:12" x14ac:dyDescent="0.2">
      <c r="A847" s="111" t="s">
        <v>913</v>
      </c>
      <c r="B847" s="132">
        <v>37</v>
      </c>
      <c r="C847" s="111">
        <v>172.72</v>
      </c>
      <c r="D847" s="111">
        <v>70.306759999999997</v>
      </c>
      <c r="E847" s="111">
        <v>70</v>
      </c>
      <c r="F847" s="111">
        <v>12</v>
      </c>
      <c r="G847" s="133">
        <v>0.58333333333333337</v>
      </c>
      <c r="H847" s="111">
        <v>25.333333333333332</v>
      </c>
      <c r="I847" s="111">
        <v>2</v>
      </c>
      <c r="J847" s="111">
        <v>0.58333333333333337</v>
      </c>
      <c r="K847" s="111">
        <v>3.4166666666666665</v>
      </c>
      <c r="L847">
        <v>0</v>
      </c>
    </row>
    <row r="848" spans="1:12" x14ac:dyDescent="0.2">
      <c r="A848" s="111" t="s">
        <v>914</v>
      </c>
      <c r="B848" s="132" t="s">
        <v>1596</v>
      </c>
      <c r="C848" s="111">
        <v>170.18</v>
      </c>
      <c r="D848" s="111">
        <v>65.770840000000007</v>
      </c>
      <c r="E848" s="111">
        <v>70</v>
      </c>
      <c r="F848" s="111">
        <v>1</v>
      </c>
      <c r="G848" s="133">
        <v>0</v>
      </c>
      <c r="H848" s="111">
        <v>52</v>
      </c>
      <c r="I848" s="111">
        <v>1</v>
      </c>
      <c r="J848" s="111">
        <v>0</v>
      </c>
      <c r="K848" s="111">
        <v>0</v>
      </c>
      <c r="L848">
        <v>0</v>
      </c>
    </row>
    <row r="849" spans="1:12" x14ac:dyDescent="0.2">
      <c r="A849" s="111" t="s">
        <v>915</v>
      </c>
      <c r="B849" s="132">
        <v>34</v>
      </c>
      <c r="C849" s="111">
        <v>175.26</v>
      </c>
      <c r="D849" s="111">
        <v>70.306759999999997</v>
      </c>
      <c r="E849" s="111">
        <v>71</v>
      </c>
      <c r="F849" s="111">
        <v>4</v>
      </c>
      <c r="G849" s="133">
        <v>0.25</v>
      </c>
      <c r="H849" s="111">
        <v>11.5</v>
      </c>
      <c r="I849" s="111">
        <v>0.25</v>
      </c>
      <c r="J849" s="111">
        <v>0</v>
      </c>
      <c r="K849" s="111">
        <v>0</v>
      </c>
      <c r="L849">
        <v>0</v>
      </c>
    </row>
    <row r="850" spans="1:12" x14ac:dyDescent="0.2">
      <c r="A850" s="111" t="s">
        <v>916</v>
      </c>
      <c r="B850" s="132">
        <v>34</v>
      </c>
      <c r="C850" s="111">
        <v>193.04</v>
      </c>
      <c r="D850" s="111">
        <v>92.986360000000005</v>
      </c>
      <c r="E850" s="111">
        <v>76</v>
      </c>
      <c r="F850" s="111">
        <v>9</v>
      </c>
      <c r="G850" s="133">
        <v>0.44444444444444442</v>
      </c>
      <c r="H850" s="111">
        <v>33.777777777777779</v>
      </c>
      <c r="I850" s="111">
        <v>2</v>
      </c>
      <c r="J850" s="111">
        <v>0</v>
      </c>
      <c r="K850" s="111">
        <v>1</v>
      </c>
      <c r="L850">
        <v>0</v>
      </c>
    </row>
    <row r="851" spans="1:12" x14ac:dyDescent="0.2">
      <c r="A851" s="111" t="s">
        <v>917</v>
      </c>
      <c r="B851" s="132">
        <v>36</v>
      </c>
      <c r="C851" s="111">
        <v>185.42</v>
      </c>
      <c r="D851" s="111">
        <v>77.110640000000004</v>
      </c>
      <c r="E851" s="111">
        <v>76</v>
      </c>
      <c r="F851" s="111">
        <v>10</v>
      </c>
      <c r="G851" s="133">
        <v>0.6</v>
      </c>
      <c r="H851" s="111">
        <v>29.7</v>
      </c>
      <c r="I851" s="111">
        <v>0.9</v>
      </c>
      <c r="J851" s="111">
        <v>0.4</v>
      </c>
      <c r="K851" s="111">
        <v>1.6</v>
      </c>
      <c r="L851">
        <v>1</v>
      </c>
    </row>
    <row r="852" spans="1:12" x14ac:dyDescent="0.2">
      <c r="A852" s="111" t="s">
        <v>918</v>
      </c>
      <c r="B852" s="132">
        <v>37</v>
      </c>
      <c r="C852" s="111">
        <v>182.88</v>
      </c>
      <c r="D852" s="111">
        <v>70.306759999999997</v>
      </c>
      <c r="E852" s="111">
        <v>73.842215999999993</v>
      </c>
      <c r="F852" s="111">
        <v>2</v>
      </c>
      <c r="G852" s="133">
        <v>0.5</v>
      </c>
      <c r="H852" s="111">
        <v>48.5</v>
      </c>
      <c r="I852" s="111">
        <v>0</v>
      </c>
      <c r="J852" s="111">
        <v>0</v>
      </c>
      <c r="K852" s="111">
        <v>0</v>
      </c>
      <c r="L852">
        <v>0</v>
      </c>
    </row>
    <row r="853" spans="1:12" x14ac:dyDescent="0.2">
      <c r="A853" s="111" t="s">
        <v>919</v>
      </c>
      <c r="B853" s="132">
        <v>26</v>
      </c>
      <c r="C853" s="111">
        <v>165.1</v>
      </c>
      <c r="D853" s="111">
        <v>56.698999999999998</v>
      </c>
      <c r="E853" s="111">
        <v>66</v>
      </c>
      <c r="F853" s="111">
        <v>6</v>
      </c>
      <c r="G853" s="133">
        <v>0.83333333333333337</v>
      </c>
      <c r="H853" s="111">
        <v>46.5</v>
      </c>
      <c r="I853" s="111">
        <v>0.83333333333333337</v>
      </c>
      <c r="J853" s="111">
        <v>0</v>
      </c>
      <c r="K853" s="111">
        <v>0.66666666666666663</v>
      </c>
      <c r="L853">
        <v>0</v>
      </c>
    </row>
    <row r="854" spans="1:12" x14ac:dyDescent="0.2">
      <c r="A854" s="111" t="s">
        <v>920</v>
      </c>
      <c r="B854" s="132">
        <v>29</v>
      </c>
      <c r="C854" s="111">
        <v>175.26</v>
      </c>
      <c r="D854" s="111">
        <v>61.234920000000002</v>
      </c>
      <c r="E854" s="111">
        <v>72</v>
      </c>
      <c r="F854" s="111">
        <v>4</v>
      </c>
      <c r="G854" s="133">
        <v>0.5</v>
      </c>
      <c r="H854" s="111">
        <v>30</v>
      </c>
      <c r="I854" s="111">
        <v>2.5</v>
      </c>
      <c r="J854" s="111">
        <v>1.5</v>
      </c>
      <c r="K854" s="111">
        <v>7.5</v>
      </c>
      <c r="L854">
        <v>0</v>
      </c>
    </row>
    <row r="855" spans="1:12" x14ac:dyDescent="0.2">
      <c r="A855" s="111" t="s">
        <v>921</v>
      </c>
      <c r="B855" s="132">
        <v>28</v>
      </c>
      <c r="C855" s="111">
        <v>180.34</v>
      </c>
      <c r="D855" s="111">
        <v>77.110640000000004</v>
      </c>
      <c r="E855" s="111">
        <v>73</v>
      </c>
      <c r="F855" s="111">
        <v>4</v>
      </c>
      <c r="G855" s="133">
        <v>0.5</v>
      </c>
      <c r="H855" s="111">
        <v>55.25</v>
      </c>
      <c r="I855" s="111">
        <v>1.5</v>
      </c>
      <c r="J855" s="111">
        <v>0</v>
      </c>
      <c r="K855" s="111">
        <v>2.75</v>
      </c>
      <c r="L855">
        <v>1</v>
      </c>
    </row>
    <row r="856" spans="1:12" x14ac:dyDescent="0.2">
      <c r="A856" s="111" t="s">
        <v>922</v>
      </c>
      <c r="B856" s="132">
        <v>46</v>
      </c>
      <c r="C856" s="111">
        <v>175.26</v>
      </c>
      <c r="D856" s="111">
        <v>83.914519999999996</v>
      </c>
      <c r="E856" s="111">
        <v>70.826982000000001</v>
      </c>
      <c r="F856" s="111">
        <v>2</v>
      </c>
      <c r="G856" s="133">
        <v>0.5</v>
      </c>
      <c r="H856" s="111">
        <v>19.5</v>
      </c>
      <c r="I856" s="111">
        <v>1</v>
      </c>
      <c r="J856" s="111">
        <v>0.5</v>
      </c>
      <c r="K856" s="111">
        <v>2.5</v>
      </c>
      <c r="L856">
        <v>0</v>
      </c>
    </row>
    <row r="857" spans="1:12" x14ac:dyDescent="0.2">
      <c r="A857" s="111" t="s">
        <v>923</v>
      </c>
      <c r="B857" s="132">
        <v>22</v>
      </c>
      <c r="C857" s="111">
        <v>170.18</v>
      </c>
      <c r="D857" s="111">
        <v>61.234920000000002</v>
      </c>
      <c r="E857" s="111">
        <v>69</v>
      </c>
      <c r="F857" s="111">
        <v>2</v>
      </c>
      <c r="G857" s="133">
        <v>0</v>
      </c>
      <c r="H857" s="111">
        <v>7</v>
      </c>
      <c r="I857" s="111">
        <v>0</v>
      </c>
      <c r="J857" s="111">
        <v>0</v>
      </c>
      <c r="K857" s="111">
        <v>0</v>
      </c>
      <c r="L857">
        <v>0</v>
      </c>
    </row>
    <row r="858" spans="1:12" x14ac:dyDescent="0.2">
      <c r="A858" s="111" t="s">
        <v>924</v>
      </c>
      <c r="B858" s="132" t="s">
        <v>1596</v>
      </c>
      <c r="C858" s="111">
        <v>187.96</v>
      </c>
      <c r="D858" s="111">
        <v>108.86208000000001</v>
      </c>
      <c r="E858" s="111">
        <v>75.852372000000003</v>
      </c>
      <c r="F858" s="111">
        <v>2</v>
      </c>
      <c r="G858" s="133">
        <v>0</v>
      </c>
      <c r="H858" s="111">
        <v>3.5</v>
      </c>
      <c r="I858" s="111">
        <v>0</v>
      </c>
      <c r="J858" s="111">
        <v>0.5</v>
      </c>
      <c r="K858" s="111">
        <v>0</v>
      </c>
      <c r="L858">
        <v>0</v>
      </c>
    </row>
    <row r="859" spans="1:12" x14ac:dyDescent="0.2">
      <c r="A859" s="111" t="s">
        <v>925</v>
      </c>
      <c r="B859" s="132">
        <v>33</v>
      </c>
      <c r="C859" s="111">
        <v>170.18</v>
      </c>
      <c r="D859" s="111">
        <v>61.234920000000002</v>
      </c>
      <c r="E859" s="111">
        <v>67</v>
      </c>
      <c r="F859" s="111">
        <v>3</v>
      </c>
      <c r="G859" s="133">
        <v>0.33333333333333331</v>
      </c>
      <c r="H859" s="111">
        <v>63</v>
      </c>
      <c r="I859" s="111">
        <v>1</v>
      </c>
      <c r="J859" s="111">
        <v>0</v>
      </c>
      <c r="K859" s="111">
        <v>0.66666666666666663</v>
      </c>
      <c r="L859">
        <v>0</v>
      </c>
    </row>
    <row r="860" spans="1:12" x14ac:dyDescent="0.2">
      <c r="A860" s="111" t="s">
        <v>926</v>
      </c>
      <c r="B860" s="132">
        <v>39</v>
      </c>
      <c r="C860" s="111">
        <v>193.04</v>
      </c>
      <c r="D860" s="111">
        <v>108.86208000000001</v>
      </c>
      <c r="E860" s="111">
        <v>82</v>
      </c>
      <c r="F860" s="111">
        <v>4</v>
      </c>
      <c r="G860" s="133">
        <v>0.5</v>
      </c>
      <c r="H860" s="111">
        <v>36</v>
      </c>
      <c r="I860" s="111">
        <v>0.25</v>
      </c>
      <c r="J860" s="111">
        <v>0</v>
      </c>
      <c r="K860" s="111">
        <v>0.25</v>
      </c>
      <c r="L860">
        <v>0</v>
      </c>
    </row>
    <row r="861" spans="1:12" x14ac:dyDescent="0.2">
      <c r="A861" s="111" t="s">
        <v>1594</v>
      </c>
      <c r="B861" s="132">
        <v>43</v>
      </c>
      <c r="C861" s="111">
        <v>180.34</v>
      </c>
      <c r="D861" s="111">
        <v>77.110640000000004</v>
      </c>
      <c r="E861" s="111">
        <v>72.837137999999996</v>
      </c>
      <c r="F861" s="111">
        <v>4</v>
      </c>
      <c r="G861" s="133">
        <v>0.75</v>
      </c>
      <c r="H861" s="111">
        <v>8.75</v>
      </c>
      <c r="I861" s="111">
        <v>0.5</v>
      </c>
      <c r="J861" s="111">
        <v>0</v>
      </c>
      <c r="K861" s="111">
        <v>0.75</v>
      </c>
      <c r="L861">
        <v>0</v>
      </c>
    </row>
    <row r="862" spans="1:12" x14ac:dyDescent="0.2">
      <c r="A862" s="111" t="s">
        <v>927</v>
      </c>
      <c r="B862" s="132">
        <v>33</v>
      </c>
      <c r="C862" s="111">
        <v>170.18</v>
      </c>
      <c r="D862" s="111">
        <v>61.234920000000002</v>
      </c>
      <c r="E862" s="111">
        <v>69</v>
      </c>
      <c r="F862" s="111">
        <v>4</v>
      </c>
      <c r="G862" s="133">
        <v>0.5</v>
      </c>
      <c r="H862" s="111">
        <v>28</v>
      </c>
      <c r="I862" s="111">
        <v>1.75</v>
      </c>
      <c r="J862" s="111">
        <v>1.25</v>
      </c>
      <c r="K862" s="111">
        <v>4</v>
      </c>
      <c r="L862">
        <v>0</v>
      </c>
    </row>
    <row r="863" spans="1:12" x14ac:dyDescent="0.2">
      <c r="A863" s="111" t="s">
        <v>928</v>
      </c>
      <c r="B863" s="132">
        <v>31</v>
      </c>
      <c r="C863" s="111">
        <v>175.26</v>
      </c>
      <c r="D863" s="111">
        <v>70.306759999999997</v>
      </c>
      <c r="E863" s="111">
        <v>72</v>
      </c>
      <c r="F863" s="111">
        <v>6</v>
      </c>
      <c r="G863" s="133">
        <v>0.5</v>
      </c>
      <c r="H863" s="111">
        <v>28</v>
      </c>
      <c r="I863" s="111">
        <v>1.6666666666666667</v>
      </c>
      <c r="J863" s="111">
        <v>0.5</v>
      </c>
      <c r="K863" s="111">
        <v>2</v>
      </c>
      <c r="L863">
        <v>0</v>
      </c>
    </row>
    <row r="864" spans="1:12" x14ac:dyDescent="0.2">
      <c r="A864" s="111" t="s">
        <v>929</v>
      </c>
      <c r="B864" s="132">
        <v>39</v>
      </c>
      <c r="C864" s="111">
        <v>190.5</v>
      </c>
      <c r="D864" s="111">
        <v>83.914519999999996</v>
      </c>
      <c r="E864" s="111">
        <v>76.85745</v>
      </c>
      <c r="F864" s="111">
        <v>1</v>
      </c>
      <c r="G864" s="133">
        <v>1</v>
      </c>
      <c r="H864" s="111">
        <v>0</v>
      </c>
      <c r="I864" s="111">
        <v>0</v>
      </c>
      <c r="J864" s="111">
        <v>2</v>
      </c>
      <c r="K864" s="111">
        <v>0</v>
      </c>
      <c r="L864">
        <v>0</v>
      </c>
    </row>
    <row r="865" spans="1:12" x14ac:dyDescent="0.2">
      <c r="A865" s="111" t="s">
        <v>930</v>
      </c>
      <c r="B865" s="132">
        <v>40</v>
      </c>
      <c r="C865" s="111">
        <v>170.18</v>
      </c>
      <c r="D865" s="111">
        <v>70.306759999999997</v>
      </c>
      <c r="E865" s="111">
        <v>68.816826000000006</v>
      </c>
      <c r="F865" s="111">
        <v>1</v>
      </c>
      <c r="G865" s="133">
        <v>0</v>
      </c>
      <c r="H865" s="111">
        <v>5</v>
      </c>
      <c r="I865" s="111">
        <v>0</v>
      </c>
      <c r="J865" s="111">
        <v>0</v>
      </c>
      <c r="K865" s="111">
        <v>0</v>
      </c>
      <c r="L865">
        <v>0</v>
      </c>
    </row>
    <row r="866" spans="1:12" x14ac:dyDescent="0.2">
      <c r="A866" s="111" t="s">
        <v>931</v>
      </c>
      <c r="B866" s="132">
        <v>33</v>
      </c>
      <c r="C866" s="111">
        <v>177.8</v>
      </c>
      <c r="D866" s="111">
        <v>70.306759999999997</v>
      </c>
      <c r="E866" s="111">
        <v>74</v>
      </c>
      <c r="F866" s="111">
        <v>2</v>
      </c>
      <c r="G866" s="133">
        <v>0</v>
      </c>
      <c r="H866" s="111">
        <v>19</v>
      </c>
      <c r="I866" s="111">
        <v>1.5</v>
      </c>
      <c r="J866" s="111">
        <v>0.5</v>
      </c>
      <c r="K866" s="111">
        <v>1</v>
      </c>
      <c r="L866">
        <v>0</v>
      </c>
    </row>
    <row r="867" spans="1:12" x14ac:dyDescent="0.2">
      <c r="A867" s="111" t="s">
        <v>932</v>
      </c>
      <c r="B867" s="132">
        <v>25</v>
      </c>
      <c r="C867" s="111">
        <v>182.88</v>
      </c>
      <c r="D867" s="111">
        <v>77.110640000000004</v>
      </c>
      <c r="E867" s="111">
        <v>74</v>
      </c>
      <c r="F867" s="111">
        <v>4</v>
      </c>
      <c r="G867" s="133">
        <v>0.5</v>
      </c>
      <c r="H867" s="111">
        <v>24.5</v>
      </c>
      <c r="I867" s="111">
        <v>0</v>
      </c>
      <c r="J867" s="111">
        <v>0</v>
      </c>
      <c r="K867" s="111">
        <v>0.75</v>
      </c>
      <c r="L867">
        <v>1</v>
      </c>
    </row>
    <row r="868" spans="1:12" x14ac:dyDescent="0.2">
      <c r="A868" s="111" t="s">
        <v>933</v>
      </c>
      <c r="B868" s="132">
        <v>37</v>
      </c>
      <c r="C868" s="111">
        <v>177.8</v>
      </c>
      <c r="D868" s="111">
        <v>65.770840000000007</v>
      </c>
      <c r="E868" s="111">
        <v>69</v>
      </c>
      <c r="F868" s="111">
        <v>9</v>
      </c>
      <c r="G868" s="133">
        <v>0.22222222222222221</v>
      </c>
      <c r="H868" s="111">
        <v>37.111111111111114</v>
      </c>
      <c r="I868" s="111">
        <v>0.44444444444444442</v>
      </c>
      <c r="J868" s="111">
        <v>0.33333333333333331</v>
      </c>
      <c r="K868" s="111">
        <v>0.66666666666666663</v>
      </c>
      <c r="L868">
        <v>0</v>
      </c>
    </row>
    <row r="869" spans="1:12" x14ac:dyDescent="0.2">
      <c r="A869" s="111" t="s">
        <v>934</v>
      </c>
      <c r="B869" s="132">
        <v>34</v>
      </c>
      <c r="C869" s="111">
        <v>182.88</v>
      </c>
      <c r="D869" s="111">
        <v>83.914519999999996</v>
      </c>
      <c r="E869" s="111">
        <v>73</v>
      </c>
      <c r="F869" s="111">
        <v>1</v>
      </c>
      <c r="G869" s="133">
        <v>0</v>
      </c>
      <c r="H869" s="111">
        <v>64</v>
      </c>
      <c r="I869" s="111">
        <v>0</v>
      </c>
      <c r="J869" s="111">
        <v>0</v>
      </c>
      <c r="K869" s="111">
        <v>2</v>
      </c>
      <c r="L869">
        <v>0</v>
      </c>
    </row>
    <row r="870" spans="1:12" x14ac:dyDescent="0.2">
      <c r="A870" s="111" t="s">
        <v>935</v>
      </c>
      <c r="B870" s="132">
        <v>27</v>
      </c>
      <c r="C870" s="111">
        <v>177.8</v>
      </c>
      <c r="D870" s="111">
        <v>70.306759999999997</v>
      </c>
      <c r="E870" s="111">
        <v>70</v>
      </c>
      <c r="F870" s="111">
        <v>4</v>
      </c>
      <c r="G870" s="133">
        <v>0.25</v>
      </c>
      <c r="H870" s="111">
        <v>40.25</v>
      </c>
      <c r="I870" s="111">
        <v>1.25</v>
      </c>
      <c r="J870" s="111">
        <v>0.25</v>
      </c>
      <c r="K870" s="111">
        <v>2.25</v>
      </c>
      <c r="L870">
        <v>0</v>
      </c>
    </row>
    <row r="871" spans="1:12" x14ac:dyDescent="0.2">
      <c r="A871" s="111" t="s">
        <v>936</v>
      </c>
      <c r="B871" s="132">
        <v>24</v>
      </c>
      <c r="C871" s="111">
        <v>172.72</v>
      </c>
      <c r="D871" s="111">
        <v>61.234920000000002</v>
      </c>
      <c r="E871" s="111">
        <v>68</v>
      </c>
      <c r="F871" s="111">
        <v>2</v>
      </c>
      <c r="G871" s="133">
        <v>0</v>
      </c>
      <c r="H871" s="111">
        <v>18</v>
      </c>
      <c r="I871" s="111">
        <v>0</v>
      </c>
      <c r="J871" s="111">
        <v>0</v>
      </c>
      <c r="K871" s="111">
        <v>0</v>
      </c>
      <c r="L871">
        <v>1</v>
      </c>
    </row>
    <row r="872" spans="1:12" x14ac:dyDescent="0.2">
      <c r="A872" s="111" t="s">
        <v>937</v>
      </c>
      <c r="B872" s="132">
        <v>36</v>
      </c>
      <c r="C872" s="111">
        <v>182.88</v>
      </c>
      <c r="D872" s="111">
        <v>70.306759999999997</v>
      </c>
      <c r="E872" s="111">
        <v>75</v>
      </c>
      <c r="F872" s="111">
        <v>5</v>
      </c>
      <c r="G872" s="133">
        <v>0.8</v>
      </c>
      <c r="H872" s="111">
        <v>25.6</v>
      </c>
      <c r="I872" s="111">
        <v>1</v>
      </c>
      <c r="J872" s="111">
        <v>0.4</v>
      </c>
      <c r="K872" s="111">
        <v>2.2000000000000002</v>
      </c>
      <c r="L872">
        <v>0</v>
      </c>
    </row>
    <row r="873" spans="1:12" x14ac:dyDescent="0.2">
      <c r="A873" s="111" t="s">
        <v>938</v>
      </c>
      <c r="B873" s="132">
        <v>34</v>
      </c>
      <c r="C873" s="111">
        <v>175.26</v>
      </c>
      <c r="D873" s="111">
        <v>61.234920000000002</v>
      </c>
      <c r="E873" s="111">
        <v>66</v>
      </c>
      <c r="F873" s="111">
        <v>3</v>
      </c>
      <c r="G873" s="133">
        <v>0.33333333333333331</v>
      </c>
      <c r="H873" s="111">
        <v>47.666666666666664</v>
      </c>
      <c r="I873" s="111">
        <v>0</v>
      </c>
      <c r="J873" s="111">
        <v>0</v>
      </c>
      <c r="K873" s="111">
        <v>0</v>
      </c>
      <c r="L873">
        <v>0</v>
      </c>
    </row>
    <row r="874" spans="1:12" x14ac:dyDescent="0.2">
      <c r="A874" s="111" t="s">
        <v>939</v>
      </c>
      <c r="B874" s="132">
        <v>27</v>
      </c>
      <c r="C874" s="111">
        <v>172.72</v>
      </c>
      <c r="D874" s="111">
        <v>65.770840000000007</v>
      </c>
      <c r="E874" s="111">
        <v>68</v>
      </c>
      <c r="F874" s="111">
        <v>3</v>
      </c>
      <c r="G874" s="133">
        <v>0.33333333333333331</v>
      </c>
      <c r="H874" s="111">
        <v>43</v>
      </c>
      <c r="I874" s="111">
        <v>3.6666666666666665</v>
      </c>
      <c r="J874" s="111">
        <v>0</v>
      </c>
      <c r="K874" s="111">
        <v>2</v>
      </c>
      <c r="L874">
        <v>0</v>
      </c>
    </row>
    <row r="875" spans="1:12" x14ac:dyDescent="0.2">
      <c r="A875" s="111" t="s">
        <v>940</v>
      </c>
      <c r="B875" s="132">
        <v>29</v>
      </c>
      <c r="C875" s="111">
        <v>177.8</v>
      </c>
      <c r="D875" s="111">
        <v>77.110640000000004</v>
      </c>
      <c r="E875" s="111">
        <v>73</v>
      </c>
      <c r="F875" s="111">
        <v>1</v>
      </c>
      <c r="G875" s="133">
        <v>0</v>
      </c>
      <c r="H875" s="111">
        <v>21</v>
      </c>
      <c r="I875" s="111">
        <v>2</v>
      </c>
      <c r="J875" s="111">
        <v>0</v>
      </c>
      <c r="K875" s="111">
        <v>2</v>
      </c>
      <c r="L875">
        <v>0</v>
      </c>
    </row>
    <row r="876" spans="1:12" x14ac:dyDescent="0.2">
      <c r="A876" s="111" t="s">
        <v>941</v>
      </c>
      <c r="B876" s="132">
        <v>26</v>
      </c>
      <c r="C876" s="111">
        <v>180.34</v>
      </c>
      <c r="D876" s="111">
        <v>70.306759999999997</v>
      </c>
      <c r="E876" s="111">
        <v>71</v>
      </c>
      <c r="F876" s="111">
        <v>4</v>
      </c>
      <c r="G876" s="133">
        <v>0.5</v>
      </c>
      <c r="H876" s="111">
        <v>19.25</v>
      </c>
      <c r="I876" s="111">
        <v>1.75</v>
      </c>
      <c r="J876" s="111">
        <v>0.75</v>
      </c>
      <c r="K876" s="111">
        <v>2</v>
      </c>
      <c r="L876">
        <v>1</v>
      </c>
    </row>
    <row r="877" spans="1:12" x14ac:dyDescent="0.2">
      <c r="A877" s="111" t="s">
        <v>942</v>
      </c>
      <c r="B877" s="132">
        <v>34</v>
      </c>
      <c r="C877" s="111">
        <v>162.56</v>
      </c>
      <c r="D877" s="111">
        <v>52.163080000000001</v>
      </c>
      <c r="E877" s="111">
        <v>62</v>
      </c>
      <c r="F877" s="111">
        <v>2</v>
      </c>
      <c r="G877" s="133">
        <v>0</v>
      </c>
      <c r="H877" s="111">
        <v>5.5</v>
      </c>
      <c r="I877" s="111">
        <v>1.5</v>
      </c>
      <c r="J877" s="111">
        <v>0.5</v>
      </c>
      <c r="K877" s="111">
        <v>0.5</v>
      </c>
      <c r="L877">
        <v>0</v>
      </c>
    </row>
    <row r="878" spans="1:12" x14ac:dyDescent="0.2">
      <c r="A878" s="111" t="s">
        <v>943</v>
      </c>
      <c r="B878" s="132">
        <v>32</v>
      </c>
      <c r="C878" s="111">
        <v>167.64</v>
      </c>
      <c r="D878" s="111">
        <v>61.234920000000002</v>
      </c>
      <c r="E878" s="111">
        <v>66</v>
      </c>
      <c r="F878" s="111">
        <v>5</v>
      </c>
      <c r="G878" s="133">
        <v>0.4</v>
      </c>
      <c r="H878" s="111">
        <v>30.6</v>
      </c>
      <c r="I878" s="111">
        <v>2.2000000000000002</v>
      </c>
      <c r="J878" s="111">
        <v>0.4</v>
      </c>
      <c r="K878" s="111">
        <v>2.2000000000000002</v>
      </c>
      <c r="L878">
        <v>0</v>
      </c>
    </row>
    <row r="879" spans="1:12" x14ac:dyDescent="0.2">
      <c r="A879" s="111" t="s">
        <v>944</v>
      </c>
      <c r="B879" s="132">
        <v>43</v>
      </c>
      <c r="C879" s="111">
        <v>175.26</v>
      </c>
      <c r="D879" s="111">
        <v>83.914519999999996</v>
      </c>
      <c r="E879" s="111">
        <v>70.826982000000001</v>
      </c>
      <c r="F879" s="111">
        <v>1</v>
      </c>
      <c r="G879" s="133">
        <v>0</v>
      </c>
      <c r="H879" s="111">
        <v>10</v>
      </c>
      <c r="I879" s="111">
        <v>0</v>
      </c>
      <c r="J879" s="111">
        <v>0</v>
      </c>
      <c r="K879" s="111">
        <v>0</v>
      </c>
      <c r="L879">
        <v>0</v>
      </c>
    </row>
    <row r="880" spans="1:12" x14ac:dyDescent="0.2">
      <c r="A880" s="111" t="s">
        <v>945</v>
      </c>
      <c r="B880" s="132">
        <v>31</v>
      </c>
      <c r="C880" s="111">
        <v>187.96</v>
      </c>
      <c r="D880" s="111">
        <v>83.914519999999996</v>
      </c>
      <c r="E880" s="111">
        <v>75.852372000000003</v>
      </c>
      <c r="F880" s="111">
        <v>1</v>
      </c>
      <c r="G880" s="133">
        <v>1</v>
      </c>
      <c r="H880" s="111">
        <v>40</v>
      </c>
      <c r="I880" s="111">
        <v>0</v>
      </c>
      <c r="J880" s="111">
        <v>2</v>
      </c>
      <c r="K880" s="111">
        <v>4</v>
      </c>
      <c r="L880">
        <v>0</v>
      </c>
    </row>
    <row r="881" spans="1:12" x14ac:dyDescent="0.2">
      <c r="A881" s="111" t="s">
        <v>946</v>
      </c>
      <c r="B881" s="132">
        <v>30</v>
      </c>
      <c r="C881" s="111">
        <v>180.34</v>
      </c>
      <c r="D881" s="111">
        <v>77.110640000000004</v>
      </c>
      <c r="E881" s="111">
        <v>72</v>
      </c>
      <c r="F881" s="111">
        <v>8</v>
      </c>
      <c r="G881" s="133">
        <v>0.375</v>
      </c>
      <c r="H881" s="111">
        <v>39.375</v>
      </c>
      <c r="I881" s="111">
        <v>0</v>
      </c>
      <c r="J881" s="111">
        <v>0</v>
      </c>
      <c r="K881" s="111">
        <v>0.25</v>
      </c>
      <c r="L881">
        <v>0</v>
      </c>
    </row>
    <row r="882" spans="1:12" x14ac:dyDescent="0.2">
      <c r="A882" s="111" t="s">
        <v>947</v>
      </c>
      <c r="B882" s="132">
        <v>32</v>
      </c>
      <c r="C882" s="111">
        <v>160.02000000000001</v>
      </c>
      <c r="D882" s="111">
        <v>56.698999999999998</v>
      </c>
      <c r="E882" s="111">
        <v>63</v>
      </c>
      <c r="F882" s="111">
        <v>5</v>
      </c>
      <c r="G882" s="133">
        <v>0.2</v>
      </c>
      <c r="H882" s="111">
        <v>24.8</v>
      </c>
      <c r="I882" s="111">
        <v>0.4</v>
      </c>
      <c r="J882" s="111">
        <v>0.8</v>
      </c>
      <c r="K882" s="111">
        <v>0</v>
      </c>
      <c r="L882">
        <v>0</v>
      </c>
    </row>
    <row r="883" spans="1:12" x14ac:dyDescent="0.2">
      <c r="A883" s="111" t="s">
        <v>948</v>
      </c>
      <c r="B883" s="132">
        <v>25</v>
      </c>
      <c r="C883" s="111">
        <v>175.26</v>
      </c>
      <c r="D883" s="111">
        <v>56.698999999999998</v>
      </c>
      <c r="E883" s="111">
        <v>68</v>
      </c>
      <c r="F883" s="111">
        <v>5</v>
      </c>
      <c r="G883" s="133">
        <v>0.8</v>
      </c>
      <c r="H883" s="111">
        <v>56.6</v>
      </c>
      <c r="I883" s="111">
        <v>1.6</v>
      </c>
      <c r="J883" s="111">
        <v>1.6</v>
      </c>
      <c r="K883" s="111">
        <v>3.2</v>
      </c>
      <c r="L883">
        <v>0</v>
      </c>
    </row>
    <row r="884" spans="1:12" x14ac:dyDescent="0.2">
      <c r="A884" s="111" t="s">
        <v>949</v>
      </c>
      <c r="B884" s="132" t="s">
        <v>1596</v>
      </c>
      <c r="C884" s="111">
        <v>167.64</v>
      </c>
      <c r="D884" s="111">
        <v>72.574719999999999</v>
      </c>
      <c r="E884" s="111">
        <v>67.811747999999994</v>
      </c>
      <c r="F884" s="111">
        <v>1</v>
      </c>
      <c r="G884" s="133">
        <v>0</v>
      </c>
      <c r="H884" s="111">
        <v>9</v>
      </c>
      <c r="I884" s="111">
        <v>0</v>
      </c>
      <c r="J884" s="111">
        <v>0</v>
      </c>
      <c r="K884" s="111">
        <v>0</v>
      </c>
      <c r="L884">
        <v>0</v>
      </c>
    </row>
    <row r="885" spans="1:12" x14ac:dyDescent="0.2">
      <c r="A885" s="111" t="s">
        <v>950</v>
      </c>
      <c r="B885" s="132">
        <v>28</v>
      </c>
      <c r="C885" s="111">
        <v>182.88</v>
      </c>
      <c r="D885" s="111">
        <v>65.770840000000007</v>
      </c>
      <c r="E885" s="111">
        <v>72</v>
      </c>
      <c r="F885" s="111">
        <v>6</v>
      </c>
      <c r="G885" s="133">
        <v>0.5</v>
      </c>
      <c r="H885" s="111">
        <v>24.5</v>
      </c>
      <c r="I885" s="111">
        <v>0</v>
      </c>
      <c r="J885" s="111">
        <v>0.33333333333333331</v>
      </c>
      <c r="K885" s="111">
        <v>0.16666666666666666</v>
      </c>
      <c r="L885">
        <v>1</v>
      </c>
    </row>
    <row r="886" spans="1:12" x14ac:dyDescent="0.2">
      <c r="A886" s="111" t="s">
        <v>951</v>
      </c>
      <c r="B886" s="132">
        <v>43</v>
      </c>
      <c r="C886" s="111">
        <v>187.96</v>
      </c>
      <c r="D886" s="111">
        <v>83.914519999999996</v>
      </c>
      <c r="E886" s="111">
        <v>75.852372000000003</v>
      </c>
      <c r="F886" s="111">
        <v>2</v>
      </c>
      <c r="G886" s="133">
        <v>0</v>
      </c>
      <c r="H886" s="111">
        <v>8</v>
      </c>
      <c r="I886" s="111">
        <v>1</v>
      </c>
      <c r="J886" s="111">
        <v>1</v>
      </c>
      <c r="K886" s="111">
        <v>0.5</v>
      </c>
      <c r="L886">
        <v>0</v>
      </c>
    </row>
    <row r="887" spans="1:12" x14ac:dyDescent="0.2">
      <c r="A887" s="111" t="s">
        <v>952</v>
      </c>
      <c r="B887" s="132">
        <v>35</v>
      </c>
      <c r="C887" s="111">
        <v>172.72</v>
      </c>
      <c r="D887" s="111">
        <v>77.110640000000004</v>
      </c>
      <c r="E887" s="111">
        <v>70</v>
      </c>
      <c r="F887" s="111">
        <v>9</v>
      </c>
      <c r="G887" s="133">
        <v>0.44444444444444442</v>
      </c>
      <c r="H887" s="111">
        <v>23.777777777777779</v>
      </c>
      <c r="I887" s="111">
        <v>2.6666666666666665</v>
      </c>
      <c r="J887" s="111">
        <v>0.66666666666666663</v>
      </c>
      <c r="K887" s="111">
        <v>1.8888888888888888</v>
      </c>
      <c r="L887">
        <v>0</v>
      </c>
    </row>
    <row r="888" spans="1:12" x14ac:dyDescent="0.2">
      <c r="A888" s="111" t="s">
        <v>953</v>
      </c>
      <c r="B888" s="132">
        <v>23</v>
      </c>
      <c r="F888" s="111">
        <v>1</v>
      </c>
      <c r="G888" s="133">
        <v>0</v>
      </c>
      <c r="H888" s="111">
        <v>5</v>
      </c>
      <c r="I888" s="111">
        <v>1</v>
      </c>
      <c r="J888" s="111">
        <v>0</v>
      </c>
      <c r="K888" s="111">
        <v>1</v>
      </c>
      <c r="L888">
        <v>0</v>
      </c>
    </row>
    <row r="889" spans="1:12" x14ac:dyDescent="0.2">
      <c r="A889" s="111" t="s">
        <v>954</v>
      </c>
      <c r="B889" s="132">
        <v>35</v>
      </c>
      <c r="C889" s="111">
        <v>172.72</v>
      </c>
      <c r="D889" s="111">
        <v>77.110640000000004</v>
      </c>
      <c r="E889" s="111">
        <v>69.821904000000004</v>
      </c>
      <c r="F889" s="111">
        <v>2</v>
      </c>
      <c r="G889" s="133">
        <v>0</v>
      </c>
      <c r="H889" s="111">
        <v>12</v>
      </c>
      <c r="I889" s="111">
        <v>0.5</v>
      </c>
      <c r="J889" s="111">
        <v>0</v>
      </c>
      <c r="K889" s="111">
        <v>0.5</v>
      </c>
      <c r="L889">
        <v>0</v>
      </c>
    </row>
    <row r="890" spans="1:12" x14ac:dyDescent="0.2">
      <c r="A890" s="111" t="s">
        <v>955</v>
      </c>
      <c r="B890" s="132">
        <v>35</v>
      </c>
      <c r="C890" s="111">
        <v>187.96</v>
      </c>
      <c r="D890" s="111">
        <v>83.914519999999996</v>
      </c>
      <c r="E890" s="111">
        <v>77</v>
      </c>
      <c r="F890" s="111">
        <v>9</v>
      </c>
      <c r="G890" s="133">
        <v>0.44444444444444442</v>
      </c>
      <c r="H890" s="111">
        <v>28.666666666666668</v>
      </c>
      <c r="I890" s="111">
        <v>0.22222222222222221</v>
      </c>
      <c r="J890" s="111">
        <v>0.1111111111111111</v>
      </c>
      <c r="K890" s="111">
        <v>0.22222222222222221</v>
      </c>
      <c r="L890">
        <v>1</v>
      </c>
    </row>
    <row r="891" spans="1:12" x14ac:dyDescent="0.2">
      <c r="A891" s="111" t="s">
        <v>956</v>
      </c>
      <c r="B891" s="132">
        <v>34</v>
      </c>
      <c r="C891" s="111">
        <v>180.34</v>
      </c>
      <c r="D891" s="111">
        <v>77.110640000000004</v>
      </c>
      <c r="E891" s="111">
        <v>71</v>
      </c>
      <c r="F891" s="111">
        <v>2</v>
      </c>
      <c r="G891" s="133">
        <v>0</v>
      </c>
      <c r="H891" s="111">
        <v>15.5</v>
      </c>
      <c r="I891" s="111">
        <v>0</v>
      </c>
      <c r="J891" s="111">
        <v>0</v>
      </c>
      <c r="K891" s="111">
        <v>0</v>
      </c>
      <c r="L891">
        <v>0</v>
      </c>
    </row>
    <row r="892" spans="1:12" x14ac:dyDescent="0.2">
      <c r="A892" s="111" t="s">
        <v>957</v>
      </c>
      <c r="B892" s="132">
        <v>26</v>
      </c>
      <c r="C892" s="111">
        <v>172.72</v>
      </c>
      <c r="D892" s="111">
        <v>70.306759999999997</v>
      </c>
      <c r="E892" s="111">
        <v>71</v>
      </c>
      <c r="F892" s="111">
        <v>1</v>
      </c>
      <c r="G892" s="133">
        <v>0</v>
      </c>
      <c r="H892" s="111">
        <v>26</v>
      </c>
      <c r="I892" s="111">
        <v>0</v>
      </c>
      <c r="J892" s="111">
        <v>0</v>
      </c>
      <c r="K892" s="111">
        <v>0</v>
      </c>
      <c r="L892">
        <v>0</v>
      </c>
    </row>
    <row r="893" spans="1:12" x14ac:dyDescent="0.2">
      <c r="A893" s="111" t="s">
        <v>958</v>
      </c>
      <c r="B893" s="132">
        <v>28</v>
      </c>
      <c r="C893" s="111">
        <v>198.12</v>
      </c>
      <c r="D893" s="111">
        <v>83.914519999999996</v>
      </c>
      <c r="E893" s="111">
        <v>77</v>
      </c>
      <c r="F893" s="111">
        <v>6</v>
      </c>
      <c r="G893" s="133">
        <v>0.5</v>
      </c>
      <c r="H893" s="111">
        <v>52.833333333333336</v>
      </c>
      <c r="I893" s="111">
        <v>0.5</v>
      </c>
      <c r="J893" s="111">
        <v>0.33333333333333331</v>
      </c>
      <c r="K893" s="111">
        <v>0.33333333333333331</v>
      </c>
      <c r="L893">
        <v>0</v>
      </c>
    </row>
    <row r="894" spans="1:12" x14ac:dyDescent="0.2">
      <c r="A894" s="111" t="s">
        <v>959</v>
      </c>
      <c r="B894" s="132">
        <v>36</v>
      </c>
      <c r="C894" s="111">
        <v>170.18</v>
      </c>
      <c r="D894" s="111">
        <v>70.306759999999997</v>
      </c>
      <c r="E894" s="111">
        <v>68.816826000000006</v>
      </c>
      <c r="F894" s="111">
        <v>2</v>
      </c>
      <c r="G894" s="133">
        <v>0</v>
      </c>
      <c r="H894" s="111">
        <v>17</v>
      </c>
      <c r="I894" s="111">
        <v>0</v>
      </c>
      <c r="J894" s="111">
        <v>0</v>
      </c>
      <c r="K894" s="111">
        <v>0</v>
      </c>
      <c r="L894">
        <v>0</v>
      </c>
    </row>
    <row r="895" spans="1:12" x14ac:dyDescent="0.2">
      <c r="A895" s="111" t="s">
        <v>960</v>
      </c>
      <c r="B895" s="132">
        <v>36</v>
      </c>
      <c r="C895" s="111">
        <v>182.88</v>
      </c>
      <c r="D895" s="111">
        <v>77.110640000000004</v>
      </c>
      <c r="E895" s="111">
        <v>74</v>
      </c>
      <c r="F895" s="111">
        <v>7</v>
      </c>
      <c r="G895" s="133">
        <v>0.42857142857142855</v>
      </c>
      <c r="H895" s="111">
        <v>21</v>
      </c>
      <c r="I895" s="111">
        <v>0.7142857142857143</v>
      </c>
      <c r="J895" s="111">
        <v>1.1428571428571428</v>
      </c>
      <c r="K895" s="111">
        <v>1</v>
      </c>
      <c r="L895">
        <v>0</v>
      </c>
    </row>
    <row r="896" spans="1:12" x14ac:dyDescent="0.2">
      <c r="A896" s="111" t="s">
        <v>961</v>
      </c>
      <c r="B896" s="132">
        <v>32</v>
      </c>
      <c r="C896" s="111">
        <v>190.5</v>
      </c>
      <c r="D896" s="111">
        <v>83.914519999999996</v>
      </c>
      <c r="E896" s="111">
        <v>77</v>
      </c>
      <c r="F896" s="111">
        <v>6</v>
      </c>
      <c r="G896" s="133">
        <v>0.83333333333333337</v>
      </c>
      <c r="H896" s="111">
        <v>31.833333333333332</v>
      </c>
      <c r="I896" s="111">
        <v>0.5</v>
      </c>
      <c r="J896" s="111">
        <v>1</v>
      </c>
      <c r="K896" s="111">
        <v>1.6666666666666667</v>
      </c>
      <c r="L896">
        <v>1</v>
      </c>
    </row>
    <row r="897" spans="1:12" x14ac:dyDescent="0.2">
      <c r="A897" s="111" t="s">
        <v>962</v>
      </c>
      <c r="B897" s="132">
        <v>31</v>
      </c>
      <c r="C897" s="111">
        <v>167.64</v>
      </c>
      <c r="D897" s="111">
        <v>65.770840000000007</v>
      </c>
      <c r="E897" s="111">
        <v>67</v>
      </c>
      <c r="F897" s="111">
        <v>1</v>
      </c>
      <c r="G897" s="133">
        <v>1</v>
      </c>
      <c r="H897" s="111">
        <v>26</v>
      </c>
      <c r="I897" s="111">
        <v>0</v>
      </c>
      <c r="J897" s="111">
        <v>1</v>
      </c>
      <c r="K897" s="111">
        <v>1</v>
      </c>
      <c r="L897">
        <v>1</v>
      </c>
    </row>
    <row r="898" spans="1:12" x14ac:dyDescent="0.2">
      <c r="A898" s="111" t="s">
        <v>963</v>
      </c>
      <c r="B898" s="132">
        <v>35</v>
      </c>
      <c r="C898" s="111">
        <v>187.96</v>
      </c>
      <c r="D898" s="111">
        <v>83.914519999999996</v>
      </c>
      <c r="E898" s="111">
        <v>74</v>
      </c>
      <c r="F898" s="111">
        <v>3</v>
      </c>
      <c r="G898" s="133">
        <v>0.33333333333333331</v>
      </c>
      <c r="H898" s="111">
        <v>30.666666666666668</v>
      </c>
      <c r="I898" s="111">
        <v>0.33333333333333331</v>
      </c>
      <c r="J898" s="111">
        <v>0</v>
      </c>
      <c r="K898" s="111">
        <v>0</v>
      </c>
      <c r="L898">
        <v>0</v>
      </c>
    </row>
    <row r="899" spans="1:12" x14ac:dyDescent="0.2">
      <c r="A899" s="111" t="s">
        <v>964</v>
      </c>
      <c r="B899" s="132">
        <v>31</v>
      </c>
      <c r="C899" s="111">
        <v>182.88</v>
      </c>
      <c r="D899" s="111">
        <v>77.110640000000004</v>
      </c>
      <c r="E899" s="111">
        <v>74</v>
      </c>
      <c r="F899" s="111">
        <v>1</v>
      </c>
      <c r="G899" s="133">
        <v>1</v>
      </c>
      <c r="H899" s="111">
        <v>55</v>
      </c>
      <c r="I899" s="111">
        <v>0</v>
      </c>
      <c r="J899" s="111">
        <v>0</v>
      </c>
      <c r="K899" s="111">
        <v>1</v>
      </c>
      <c r="L899">
        <v>0</v>
      </c>
    </row>
    <row r="900" spans="1:12" x14ac:dyDescent="0.2">
      <c r="A900" s="111" t="s">
        <v>965</v>
      </c>
      <c r="B900" s="132">
        <v>38</v>
      </c>
      <c r="C900" s="111">
        <v>185.42</v>
      </c>
      <c r="D900" s="111">
        <v>83.914519999999996</v>
      </c>
      <c r="E900" s="111">
        <v>74</v>
      </c>
      <c r="F900" s="111">
        <v>21</v>
      </c>
      <c r="G900" s="133">
        <v>0.66666666666666663</v>
      </c>
      <c r="H900" s="111">
        <v>30.476190476190474</v>
      </c>
      <c r="I900" s="111">
        <v>0.66666666666666663</v>
      </c>
      <c r="J900" s="111">
        <v>0.38095238095238093</v>
      </c>
      <c r="K900" s="111">
        <v>1.9047619047619047</v>
      </c>
      <c r="L900">
        <v>1</v>
      </c>
    </row>
    <row r="901" spans="1:12" x14ac:dyDescent="0.2">
      <c r="A901" s="111" t="s">
        <v>966</v>
      </c>
      <c r="B901" s="132">
        <v>36</v>
      </c>
      <c r="C901" s="111">
        <v>172.72</v>
      </c>
      <c r="D901" s="111">
        <v>70.306759999999997</v>
      </c>
      <c r="E901" s="111">
        <v>70</v>
      </c>
      <c r="F901" s="111">
        <v>13</v>
      </c>
      <c r="G901" s="133">
        <v>0.38461538461538464</v>
      </c>
      <c r="H901" s="111">
        <v>37.846153846153847</v>
      </c>
      <c r="I901" s="111">
        <v>0.92307692307692313</v>
      </c>
      <c r="J901" s="111">
        <v>0.46153846153846156</v>
      </c>
      <c r="K901" s="111">
        <v>1.5384615384615385</v>
      </c>
      <c r="L901">
        <v>0</v>
      </c>
    </row>
    <row r="902" spans="1:12" x14ac:dyDescent="0.2">
      <c r="A902" s="111" t="s">
        <v>967</v>
      </c>
      <c r="B902" s="132">
        <v>35</v>
      </c>
      <c r="C902" s="111">
        <v>182.88</v>
      </c>
      <c r="D902" s="111">
        <v>70.306759999999997</v>
      </c>
      <c r="E902" s="111">
        <v>73.842215999999993</v>
      </c>
      <c r="F902" s="111">
        <v>1</v>
      </c>
      <c r="G902" s="133">
        <v>0</v>
      </c>
      <c r="H902" s="111">
        <v>30</v>
      </c>
      <c r="I902" s="111">
        <v>0</v>
      </c>
      <c r="J902" s="111">
        <v>0</v>
      </c>
      <c r="K902" s="111">
        <v>0</v>
      </c>
      <c r="L902">
        <v>1</v>
      </c>
    </row>
    <row r="903" spans="1:12" x14ac:dyDescent="0.2">
      <c r="A903" s="111" t="s">
        <v>968</v>
      </c>
      <c r="B903" s="132">
        <v>36</v>
      </c>
      <c r="C903" s="111">
        <v>175.26</v>
      </c>
      <c r="D903" s="111">
        <v>65.770840000000007</v>
      </c>
      <c r="E903" s="111">
        <v>72</v>
      </c>
      <c r="F903" s="111">
        <v>3</v>
      </c>
      <c r="G903" s="133">
        <v>0.33333333333333331</v>
      </c>
      <c r="H903" s="111">
        <v>19</v>
      </c>
      <c r="I903" s="111">
        <v>1</v>
      </c>
      <c r="J903" s="111">
        <v>0.33333333333333331</v>
      </c>
      <c r="K903" s="111">
        <v>0.66666666666666663</v>
      </c>
      <c r="L903">
        <v>0</v>
      </c>
    </row>
    <row r="904" spans="1:12" x14ac:dyDescent="0.2">
      <c r="A904" s="111" t="s">
        <v>969</v>
      </c>
      <c r="B904" s="132">
        <v>34</v>
      </c>
      <c r="C904" s="111">
        <v>195.58</v>
      </c>
      <c r="D904" s="111">
        <v>83.914519999999996</v>
      </c>
      <c r="E904" s="111">
        <v>79</v>
      </c>
      <c r="F904" s="111">
        <v>4</v>
      </c>
      <c r="G904" s="133">
        <v>0.75</v>
      </c>
      <c r="H904" s="111">
        <v>13.75</v>
      </c>
      <c r="I904" s="111">
        <v>1.5</v>
      </c>
      <c r="J904" s="111">
        <v>0.75</v>
      </c>
      <c r="K904" s="111">
        <v>2.5</v>
      </c>
      <c r="L904">
        <v>0</v>
      </c>
    </row>
    <row r="905" spans="1:12" x14ac:dyDescent="0.2">
      <c r="A905" s="111" t="s">
        <v>970</v>
      </c>
      <c r="B905" s="132">
        <v>28</v>
      </c>
      <c r="C905" s="111">
        <v>172.72</v>
      </c>
      <c r="D905" s="111">
        <v>70.306759999999997</v>
      </c>
      <c r="E905" s="111">
        <v>71</v>
      </c>
      <c r="F905" s="111">
        <v>2</v>
      </c>
      <c r="G905" s="133">
        <v>1</v>
      </c>
      <c r="H905" s="111">
        <v>18</v>
      </c>
      <c r="I905" s="111">
        <v>0</v>
      </c>
      <c r="J905" s="111">
        <v>0</v>
      </c>
      <c r="K905" s="111">
        <v>0</v>
      </c>
      <c r="L905">
        <v>0</v>
      </c>
    </row>
    <row r="906" spans="1:12" x14ac:dyDescent="0.2">
      <c r="A906" s="111" t="s">
        <v>971</v>
      </c>
      <c r="B906" s="132">
        <v>35</v>
      </c>
      <c r="C906" s="111">
        <v>180.34</v>
      </c>
      <c r="D906" s="111">
        <v>83.914519999999996</v>
      </c>
      <c r="E906" s="111">
        <v>72.837137999999996</v>
      </c>
      <c r="F906" s="111">
        <v>1</v>
      </c>
      <c r="G906" s="133">
        <v>1</v>
      </c>
      <c r="H906" s="111">
        <v>25</v>
      </c>
      <c r="I906" s="111">
        <v>1</v>
      </c>
      <c r="J906" s="111">
        <v>3</v>
      </c>
      <c r="K906" s="111">
        <v>3</v>
      </c>
      <c r="L906">
        <v>0</v>
      </c>
    </row>
    <row r="907" spans="1:12" x14ac:dyDescent="0.2">
      <c r="A907" s="111" t="s">
        <v>972</v>
      </c>
      <c r="B907" s="132">
        <v>28</v>
      </c>
      <c r="C907" s="111">
        <v>175.26</v>
      </c>
      <c r="D907" s="111">
        <v>70.306759999999997</v>
      </c>
      <c r="E907" s="111">
        <v>73</v>
      </c>
      <c r="F907" s="111">
        <v>5</v>
      </c>
      <c r="G907" s="133">
        <v>0.8</v>
      </c>
      <c r="H907" s="111">
        <v>25.6</v>
      </c>
      <c r="I907" s="111">
        <v>1.4</v>
      </c>
      <c r="J907" s="111">
        <v>0</v>
      </c>
      <c r="K907" s="111">
        <v>0.4</v>
      </c>
      <c r="L907">
        <v>0</v>
      </c>
    </row>
    <row r="908" spans="1:12" x14ac:dyDescent="0.2">
      <c r="A908" s="111" t="s">
        <v>973</v>
      </c>
      <c r="B908" s="132">
        <v>28</v>
      </c>
      <c r="C908" s="111">
        <v>177.8</v>
      </c>
      <c r="D908" s="111">
        <v>65.770840000000007</v>
      </c>
      <c r="E908" s="111">
        <v>72</v>
      </c>
      <c r="F908" s="111">
        <v>2</v>
      </c>
      <c r="G908" s="133">
        <v>1</v>
      </c>
      <c r="H908" s="111">
        <v>3</v>
      </c>
      <c r="I908" s="111">
        <v>0.5</v>
      </c>
      <c r="J908" s="111">
        <v>1</v>
      </c>
      <c r="K908" s="111">
        <v>0.5</v>
      </c>
      <c r="L908">
        <v>1</v>
      </c>
    </row>
    <row r="909" spans="1:12" x14ac:dyDescent="0.2">
      <c r="A909" s="111" t="s">
        <v>1563</v>
      </c>
      <c r="B909" s="132">
        <v>35</v>
      </c>
      <c r="C909" s="111">
        <v>165.1</v>
      </c>
      <c r="D909" s="111">
        <v>61.234920000000002</v>
      </c>
      <c r="E909" s="111">
        <v>67</v>
      </c>
      <c r="F909" s="111">
        <v>13</v>
      </c>
      <c r="G909" s="133">
        <v>0.46153846153846156</v>
      </c>
      <c r="H909" s="111">
        <v>20.692307692307693</v>
      </c>
      <c r="I909" s="111">
        <v>2.3076923076923075</v>
      </c>
      <c r="J909" s="111">
        <v>0.61538461538461542</v>
      </c>
      <c r="K909" s="111">
        <v>0.61538461538461542</v>
      </c>
      <c r="L909">
        <v>0</v>
      </c>
    </row>
    <row r="910" spans="1:12" x14ac:dyDescent="0.2">
      <c r="A910" s="111" t="s">
        <v>974</v>
      </c>
      <c r="B910" s="132">
        <v>31</v>
      </c>
      <c r="C910" s="111">
        <v>175.26</v>
      </c>
      <c r="D910" s="111">
        <v>77.110640000000004</v>
      </c>
      <c r="E910" s="111">
        <v>68</v>
      </c>
      <c r="F910" s="111">
        <v>1</v>
      </c>
      <c r="G910" s="133">
        <v>0</v>
      </c>
      <c r="H910" s="111">
        <v>4</v>
      </c>
      <c r="I910" s="111">
        <v>3</v>
      </c>
      <c r="J910" s="111">
        <v>0</v>
      </c>
      <c r="K910" s="111">
        <v>3</v>
      </c>
      <c r="L910">
        <v>0</v>
      </c>
    </row>
    <row r="911" spans="1:12" x14ac:dyDescent="0.2">
      <c r="A911" s="111" t="s">
        <v>975</v>
      </c>
      <c r="B911" s="132" t="s">
        <v>1596</v>
      </c>
      <c r="C911" s="111">
        <v>177.8</v>
      </c>
      <c r="D911" s="111">
        <v>77.110640000000004</v>
      </c>
      <c r="E911" s="111">
        <v>71.832059999999998</v>
      </c>
      <c r="F911" s="111">
        <v>1</v>
      </c>
      <c r="G911" s="133">
        <v>0</v>
      </c>
      <c r="H911" s="111">
        <v>2</v>
      </c>
      <c r="I911" s="111">
        <v>0</v>
      </c>
      <c r="J911" s="111">
        <v>0</v>
      </c>
      <c r="K911" s="111">
        <v>0</v>
      </c>
      <c r="L911">
        <v>0</v>
      </c>
    </row>
    <row r="912" spans="1:12" x14ac:dyDescent="0.2">
      <c r="A912" s="111" t="s">
        <v>976</v>
      </c>
      <c r="B912" s="132">
        <v>33</v>
      </c>
      <c r="C912" s="111">
        <v>182.88</v>
      </c>
      <c r="D912" s="111">
        <v>83.914519999999996</v>
      </c>
      <c r="E912" s="111">
        <v>73</v>
      </c>
      <c r="F912" s="111">
        <v>3</v>
      </c>
      <c r="G912" s="133">
        <v>0.66666666666666663</v>
      </c>
      <c r="H912" s="111">
        <v>62.666666666666664</v>
      </c>
      <c r="I912" s="111">
        <v>1.6666666666666667</v>
      </c>
      <c r="J912" s="111">
        <v>0</v>
      </c>
      <c r="K912" s="111">
        <v>0.33333333333333331</v>
      </c>
      <c r="L912">
        <v>0</v>
      </c>
    </row>
    <row r="913" spans="1:12" x14ac:dyDescent="0.2">
      <c r="A913" s="111" t="s">
        <v>977</v>
      </c>
      <c r="B913" s="132" t="s">
        <v>1596</v>
      </c>
      <c r="C913" s="111">
        <v>170.18</v>
      </c>
      <c r="D913" s="111">
        <v>77.110640000000004</v>
      </c>
      <c r="E913" s="111">
        <v>68.816826000000006</v>
      </c>
      <c r="F913" s="111">
        <v>1</v>
      </c>
      <c r="G913" s="133">
        <v>1</v>
      </c>
      <c r="H913" s="111">
        <v>7</v>
      </c>
      <c r="I913" s="111">
        <v>1</v>
      </c>
      <c r="J913" s="111">
        <v>0</v>
      </c>
      <c r="K913" s="111">
        <v>3</v>
      </c>
      <c r="L913">
        <v>1</v>
      </c>
    </row>
    <row r="914" spans="1:12" x14ac:dyDescent="0.2">
      <c r="A914" s="111" t="s">
        <v>978</v>
      </c>
      <c r="B914" s="132">
        <v>27</v>
      </c>
      <c r="C914" s="111">
        <v>177.8</v>
      </c>
      <c r="D914" s="111">
        <v>70.306759999999997</v>
      </c>
      <c r="E914" s="111">
        <v>70</v>
      </c>
      <c r="F914" s="111">
        <v>2</v>
      </c>
      <c r="G914" s="133">
        <v>0</v>
      </c>
      <c r="H914" s="111">
        <v>3</v>
      </c>
      <c r="I914" s="111">
        <v>0</v>
      </c>
      <c r="J914" s="111">
        <v>0</v>
      </c>
      <c r="K914" s="111">
        <v>0</v>
      </c>
      <c r="L914">
        <v>0</v>
      </c>
    </row>
    <row r="915" spans="1:12" x14ac:dyDescent="0.2">
      <c r="A915" s="111" t="s">
        <v>979</v>
      </c>
      <c r="B915" s="132">
        <v>29</v>
      </c>
      <c r="C915" s="111">
        <v>175.26</v>
      </c>
      <c r="D915" s="111">
        <v>70.306759999999997</v>
      </c>
      <c r="E915" s="111">
        <v>70.826982000000001</v>
      </c>
      <c r="F915" s="111">
        <v>1</v>
      </c>
      <c r="G915" s="133">
        <v>0</v>
      </c>
      <c r="H915" s="111">
        <v>52</v>
      </c>
      <c r="I915" s="111">
        <v>3</v>
      </c>
      <c r="J915" s="111">
        <v>0</v>
      </c>
      <c r="K915" s="111">
        <v>0</v>
      </c>
      <c r="L915">
        <v>0</v>
      </c>
    </row>
    <row r="916" spans="1:12" x14ac:dyDescent="0.2">
      <c r="A916" s="111" t="s">
        <v>980</v>
      </c>
      <c r="B916" s="132">
        <v>27</v>
      </c>
      <c r="C916" s="111">
        <v>182.88</v>
      </c>
      <c r="D916" s="111">
        <v>77.110640000000004</v>
      </c>
      <c r="E916" s="111">
        <v>75</v>
      </c>
      <c r="F916" s="111">
        <v>3</v>
      </c>
      <c r="G916" s="133">
        <v>0</v>
      </c>
      <c r="H916" s="111">
        <v>22.333333333333332</v>
      </c>
      <c r="I916" s="111">
        <v>0.33333333333333331</v>
      </c>
      <c r="J916" s="111">
        <v>0.33333333333333331</v>
      </c>
      <c r="K916" s="111">
        <v>0</v>
      </c>
      <c r="L916">
        <v>1</v>
      </c>
    </row>
    <row r="917" spans="1:12" x14ac:dyDescent="0.2">
      <c r="A917" s="111" t="s">
        <v>981</v>
      </c>
      <c r="B917" s="132">
        <v>38</v>
      </c>
      <c r="C917" s="111">
        <v>193.04</v>
      </c>
      <c r="D917" s="111">
        <v>105.233344</v>
      </c>
      <c r="E917" s="111">
        <v>77.862527999999998</v>
      </c>
      <c r="F917" s="111">
        <v>4</v>
      </c>
      <c r="G917" s="133">
        <v>0.5</v>
      </c>
      <c r="H917" s="111">
        <v>20.75</v>
      </c>
      <c r="I917" s="111">
        <v>0.25</v>
      </c>
      <c r="J917" s="111">
        <v>0.75</v>
      </c>
      <c r="K917" s="111">
        <v>0.5</v>
      </c>
      <c r="L917">
        <v>0</v>
      </c>
    </row>
    <row r="918" spans="1:12" x14ac:dyDescent="0.2">
      <c r="A918" s="111" t="s">
        <v>982</v>
      </c>
      <c r="B918" s="132" t="s">
        <v>1596</v>
      </c>
      <c r="C918" s="111">
        <v>172.72</v>
      </c>
      <c r="D918" s="111">
        <v>61.234920000000002</v>
      </c>
      <c r="E918" s="111">
        <v>69</v>
      </c>
      <c r="F918" s="111">
        <v>2</v>
      </c>
      <c r="G918" s="133">
        <v>1</v>
      </c>
      <c r="H918" s="111">
        <v>30.5</v>
      </c>
      <c r="I918" s="111">
        <v>1</v>
      </c>
      <c r="J918" s="111">
        <v>0</v>
      </c>
      <c r="K918" s="111">
        <v>1</v>
      </c>
      <c r="L918">
        <v>0</v>
      </c>
    </row>
    <row r="919" spans="1:12" x14ac:dyDescent="0.2">
      <c r="A919" s="111" t="s">
        <v>983</v>
      </c>
      <c r="B919" s="132" t="s">
        <v>1596</v>
      </c>
      <c r="C919" s="111">
        <v>180.34</v>
      </c>
      <c r="D919" s="111">
        <v>70.306759999999997</v>
      </c>
      <c r="E919" s="111">
        <v>71</v>
      </c>
      <c r="F919" s="111">
        <v>1</v>
      </c>
      <c r="G919" s="133">
        <v>1</v>
      </c>
      <c r="H919" s="111">
        <v>10</v>
      </c>
      <c r="I919" s="111">
        <v>0</v>
      </c>
      <c r="J919" s="111">
        <v>0</v>
      </c>
      <c r="K919" s="111">
        <v>0</v>
      </c>
      <c r="L919">
        <v>0</v>
      </c>
    </row>
    <row r="920" spans="1:12" x14ac:dyDescent="0.2">
      <c r="A920" s="111" t="s">
        <v>984</v>
      </c>
      <c r="B920" s="132">
        <v>55</v>
      </c>
      <c r="C920" s="111">
        <v>185.42</v>
      </c>
      <c r="D920" s="111">
        <v>95.254320000000007</v>
      </c>
      <c r="E920" s="111">
        <v>74.847294000000005</v>
      </c>
      <c r="F920" s="111">
        <v>4</v>
      </c>
      <c r="G920" s="133">
        <v>0.75</v>
      </c>
      <c r="H920" s="111">
        <v>9.75</v>
      </c>
      <c r="I920" s="111">
        <v>0.5</v>
      </c>
      <c r="J920" s="111">
        <v>1.75</v>
      </c>
      <c r="K920" s="111">
        <v>1.25</v>
      </c>
      <c r="L920">
        <v>0</v>
      </c>
    </row>
    <row r="921" spans="1:12" x14ac:dyDescent="0.2">
      <c r="A921" s="111" t="s">
        <v>985</v>
      </c>
      <c r="B921" s="132">
        <v>31</v>
      </c>
      <c r="C921" s="111">
        <v>185.42</v>
      </c>
      <c r="D921" s="111">
        <v>92.986360000000005</v>
      </c>
      <c r="E921" s="111">
        <v>75</v>
      </c>
      <c r="F921" s="111">
        <v>3</v>
      </c>
      <c r="G921" s="133">
        <v>0.66666666666666663</v>
      </c>
      <c r="H921" s="111">
        <v>10</v>
      </c>
      <c r="I921" s="111">
        <v>0</v>
      </c>
      <c r="J921" s="111">
        <v>0.66666666666666663</v>
      </c>
      <c r="K921" s="111">
        <v>0</v>
      </c>
      <c r="L921">
        <v>0</v>
      </c>
    </row>
    <row r="922" spans="1:12" x14ac:dyDescent="0.2">
      <c r="A922" s="111" t="s">
        <v>986</v>
      </c>
      <c r="B922" s="132">
        <v>37</v>
      </c>
      <c r="C922" s="111">
        <v>175.26</v>
      </c>
      <c r="D922" s="111">
        <v>56.698999999999998</v>
      </c>
      <c r="E922" s="111">
        <v>70</v>
      </c>
      <c r="F922" s="111">
        <v>3</v>
      </c>
      <c r="G922" s="133">
        <v>0.33333333333333331</v>
      </c>
      <c r="H922" s="111">
        <v>19.666666666666668</v>
      </c>
      <c r="I922" s="111">
        <v>0</v>
      </c>
      <c r="J922" s="111">
        <v>0.33333333333333331</v>
      </c>
      <c r="K922" s="111">
        <v>1</v>
      </c>
      <c r="L922">
        <v>0</v>
      </c>
    </row>
    <row r="923" spans="1:12" x14ac:dyDescent="0.2">
      <c r="A923" s="111" t="s">
        <v>987</v>
      </c>
      <c r="B923" s="132">
        <v>43</v>
      </c>
      <c r="C923" s="111">
        <v>177.8</v>
      </c>
      <c r="D923" s="111">
        <v>70.306759999999997</v>
      </c>
      <c r="E923" s="111">
        <v>74</v>
      </c>
      <c r="F923" s="111">
        <v>6</v>
      </c>
      <c r="G923" s="133">
        <v>0.33333333333333331</v>
      </c>
      <c r="H923" s="111">
        <v>25.5</v>
      </c>
      <c r="I923" s="111">
        <v>0.83333333333333337</v>
      </c>
      <c r="J923" s="111">
        <v>0.5</v>
      </c>
      <c r="K923" s="111">
        <v>0.66666666666666663</v>
      </c>
      <c r="L923">
        <v>0</v>
      </c>
    </row>
    <row r="924" spans="1:12" x14ac:dyDescent="0.2">
      <c r="A924" s="111" t="s">
        <v>988</v>
      </c>
      <c r="B924" s="132" t="s">
        <v>1596</v>
      </c>
      <c r="C924" s="111">
        <v>185.42</v>
      </c>
      <c r="D924" s="111">
        <v>97.522279999999995</v>
      </c>
      <c r="E924" s="111">
        <v>74.847294000000005</v>
      </c>
      <c r="F924" s="111">
        <v>1</v>
      </c>
      <c r="G924" s="133">
        <v>0</v>
      </c>
      <c r="H924" s="111">
        <v>1</v>
      </c>
      <c r="I924" s="111">
        <v>0</v>
      </c>
      <c r="J924" s="111">
        <v>0</v>
      </c>
      <c r="K924" s="111">
        <v>0</v>
      </c>
      <c r="L924">
        <v>0</v>
      </c>
    </row>
    <row r="925" spans="1:12" x14ac:dyDescent="0.2">
      <c r="A925" s="111" t="s">
        <v>989</v>
      </c>
      <c r="B925" s="132">
        <v>31</v>
      </c>
      <c r="C925" s="111">
        <v>162.56</v>
      </c>
      <c r="D925" s="111">
        <v>61.234920000000002</v>
      </c>
      <c r="E925" s="111">
        <v>71</v>
      </c>
      <c r="F925" s="111">
        <v>8</v>
      </c>
      <c r="G925" s="133">
        <v>0.5</v>
      </c>
      <c r="H925" s="111">
        <v>39.875</v>
      </c>
      <c r="I925" s="111">
        <v>0.375</v>
      </c>
      <c r="J925" s="111">
        <v>0</v>
      </c>
      <c r="K925" s="111">
        <v>0</v>
      </c>
      <c r="L925">
        <v>1</v>
      </c>
    </row>
    <row r="926" spans="1:12" x14ac:dyDescent="0.2">
      <c r="A926" s="111" t="s">
        <v>990</v>
      </c>
      <c r="B926" s="132">
        <v>43</v>
      </c>
      <c r="C926" s="111">
        <v>177.8</v>
      </c>
      <c r="D926" s="111">
        <v>77.110640000000004</v>
      </c>
      <c r="E926" s="111">
        <v>70</v>
      </c>
      <c r="F926" s="111">
        <v>15</v>
      </c>
      <c r="G926" s="133">
        <v>0.6</v>
      </c>
      <c r="H926" s="111">
        <v>23.733333333333334</v>
      </c>
      <c r="I926" s="111">
        <v>0.93333333333333335</v>
      </c>
      <c r="J926" s="111">
        <v>0.8</v>
      </c>
      <c r="K926" s="111">
        <v>1.1333333333333333</v>
      </c>
      <c r="L926">
        <v>1</v>
      </c>
    </row>
    <row r="927" spans="1:12" x14ac:dyDescent="0.2">
      <c r="A927" s="111" t="s">
        <v>991</v>
      </c>
      <c r="B927" s="132">
        <v>43</v>
      </c>
      <c r="C927" s="111">
        <v>198.12</v>
      </c>
      <c r="D927" s="111">
        <v>120.20188</v>
      </c>
      <c r="E927" s="111">
        <v>79.872684000000007</v>
      </c>
      <c r="F927" s="111">
        <v>1</v>
      </c>
      <c r="G927" s="133">
        <v>0</v>
      </c>
      <c r="H927" s="111">
        <v>10</v>
      </c>
      <c r="I927" s="111">
        <v>3</v>
      </c>
      <c r="J927" s="111">
        <v>1</v>
      </c>
      <c r="K927" s="111">
        <v>2</v>
      </c>
      <c r="L927">
        <v>0</v>
      </c>
    </row>
    <row r="928" spans="1:12" x14ac:dyDescent="0.2">
      <c r="A928" s="111" t="s">
        <v>992</v>
      </c>
      <c r="B928" s="132">
        <v>33</v>
      </c>
      <c r="C928" s="111">
        <v>175.26</v>
      </c>
      <c r="D928" s="111">
        <v>70.306759999999997</v>
      </c>
      <c r="E928" s="111">
        <v>70</v>
      </c>
      <c r="F928" s="111">
        <v>3</v>
      </c>
      <c r="G928" s="133">
        <v>0.33333333333333331</v>
      </c>
      <c r="H928" s="111">
        <v>23</v>
      </c>
      <c r="I928" s="111">
        <v>2.3333333333333335</v>
      </c>
      <c r="J928" s="111">
        <v>0.33333333333333331</v>
      </c>
      <c r="K928" s="111">
        <v>1</v>
      </c>
      <c r="L928">
        <v>1</v>
      </c>
    </row>
    <row r="929" spans="1:12" x14ac:dyDescent="0.2">
      <c r="A929" s="111" t="s">
        <v>993</v>
      </c>
      <c r="B929" s="132">
        <v>38</v>
      </c>
      <c r="C929" s="111">
        <v>190.5</v>
      </c>
      <c r="D929" s="111">
        <v>83.914519999999996</v>
      </c>
      <c r="E929" s="111">
        <v>74</v>
      </c>
      <c r="F929" s="111">
        <v>4</v>
      </c>
      <c r="G929" s="133">
        <v>0.25</v>
      </c>
      <c r="H929" s="111">
        <v>21.5</v>
      </c>
      <c r="I929" s="111">
        <v>0.75</v>
      </c>
      <c r="J929" s="111">
        <v>0</v>
      </c>
      <c r="K929" s="111">
        <v>1.25</v>
      </c>
      <c r="L929">
        <v>0</v>
      </c>
    </row>
    <row r="930" spans="1:12" x14ac:dyDescent="0.2">
      <c r="A930" s="111" t="s">
        <v>994</v>
      </c>
      <c r="B930" s="132" t="s">
        <v>1596</v>
      </c>
      <c r="C930" s="111">
        <v>182.88</v>
      </c>
      <c r="D930" s="111">
        <v>103.872568</v>
      </c>
      <c r="E930" s="111">
        <v>73.842215999999993</v>
      </c>
      <c r="F930" s="111">
        <v>1</v>
      </c>
      <c r="G930" s="133">
        <v>0</v>
      </c>
      <c r="H930" s="111">
        <v>10</v>
      </c>
      <c r="I930" s="111">
        <v>1</v>
      </c>
      <c r="J930" s="111">
        <v>0</v>
      </c>
      <c r="K930" s="111">
        <v>1</v>
      </c>
      <c r="L930">
        <v>0</v>
      </c>
    </row>
    <row r="931" spans="1:12" x14ac:dyDescent="0.2">
      <c r="A931" s="111" t="s">
        <v>995</v>
      </c>
      <c r="B931" s="132">
        <v>39</v>
      </c>
      <c r="C931" s="111">
        <v>167.64</v>
      </c>
      <c r="D931" s="111">
        <v>61.234920000000002</v>
      </c>
      <c r="E931" s="111">
        <v>68</v>
      </c>
      <c r="F931" s="111">
        <v>4</v>
      </c>
      <c r="G931" s="133">
        <v>0.5</v>
      </c>
      <c r="H931" s="111">
        <v>42.5</v>
      </c>
      <c r="I931" s="111">
        <v>0.25</v>
      </c>
      <c r="J931" s="111">
        <v>0.5</v>
      </c>
      <c r="K931" s="111">
        <v>0</v>
      </c>
      <c r="L931">
        <v>0</v>
      </c>
    </row>
    <row r="932" spans="1:12" x14ac:dyDescent="0.2">
      <c r="A932" s="111" t="s">
        <v>996</v>
      </c>
      <c r="B932" s="132">
        <v>35</v>
      </c>
      <c r="C932" s="111">
        <v>172.72</v>
      </c>
      <c r="D932" s="111">
        <v>70.306759999999997</v>
      </c>
      <c r="E932" s="111">
        <v>75</v>
      </c>
      <c r="F932" s="111">
        <v>13</v>
      </c>
      <c r="G932" s="133">
        <v>0.61538461538461542</v>
      </c>
      <c r="H932" s="111">
        <v>26.692307692307693</v>
      </c>
      <c r="I932" s="111">
        <v>2.7692307692307692</v>
      </c>
      <c r="J932" s="111">
        <v>1</v>
      </c>
      <c r="K932" s="111">
        <v>3.6923076923076925</v>
      </c>
      <c r="L932">
        <v>0</v>
      </c>
    </row>
    <row r="933" spans="1:12" x14ac:dyDescent="0.2">
      <c r="A933" s="111" t="s">
        <v>997</v>
      </c>
      <c r="B933" s="132">
        <v>52</v>
      </c>
      <c r="C933" s="111">
        <v>185.42</v>
      </c>
      <c r="D933" s="111">
        <v>92.986360000000005</v>
      </c>
      <c r="E933" s="111">
        <v>75</v>
      </c>
      <c r="F933" s="111">
        <v>12</v>
      </c>
      <c r="G933" s="133">
        <v>0.58333333333333337</v>
      </c>
      <c r="H933" s="111">
        <v>20.25</v>
      </c>
      <c r="I933" s="111">
        <v>2.0833333333333335</v>
      </c>
      <c r="J933" s="111">
        <v>0.66666666666666663</v>
      </c>
      <c r="K933" s="111">
        <v>2.0833333333333335</v>
      </c>
      <c r="L933">
        <v>0</v>
      </c>
    </row>
    <row r="934" spans="1:12" x14ac:dyDescent="0.2">
      <c r="A934" s="111" t="s">
        <v>998</v>
      </c>
      <c r="B934" s="132">
        <v>30</v>
      </c>
      <c r="C934" s="111">
        <v>172.72</v>
      </c>
      <c r="D934" s="111">
        <v>65.770840000000007</v>
      </c>
      <c r="E934" s="111">
        <v>68</v>
      </c>
      <c r="F934" s="111">
        <v>3</v>
      </c>
      <c r="G934" s="133">
        <v>0.33333333333333331</v>
      </c>
      <c r="H934" s="111">
        <v>45</v>
      </c>
      <c r="I934" s="111">
        <v>1.3333333333333333</v>
      </c>
      <c r="J934" s="111">
        <v>0</v>
      </c>
      <c r="K934" s="111">
        <v>0</v>
      </c>
      <c r="L934">
        <v>0</v>
      </c>
    </row>
    <row r="935" spans="1:12" x14ac:dyDescent="0.2">
      <c r="A935" s="111" t="s">
        <v>999</v>
      </c>
      <c r="B935" s="132" t="s">
        <v>1596</v>
      </c>
      <c r="C935" s="111">
        <v>182.88</v>
      </c>
      <c r="D935" s="111">
        <v>86.182479999999998</v>
      </c>
      <c r="E935" s="111">
        <v>73.842215999999993</v>
      </c>
      <c r="F935" s="111">
        <v>5</v>
      </c>
      <c r="G935" s="133">
        <v>0.4</v>
      </c>
      <c r="H935" s="111">
        <v>1.6</v>
      </c>
      <c r="I935" s="111">
        <v>0</v>
      </c>
      <c r="J935" s="111">
        <v>0</v>
      </c>
      <c r="K935" s="111">
        <v>0</v>
      </c>
      <c r="L935">
        <v>0</v>
      </c>
    </row>
    <row r="936" spans="1:12" x14ac:dyDescent="0.2">
      <c r="A936" s="111" t="s">
        <v>1000</v>
      </c>
      <c r="B936" s="132">
        <v>31</v>
      </c>
      <c r="C936" s="111">
        <v>182.88</v>
      </c>
      <c r="D936" s="111">
        <v>70.306759999999997</v>
      </c>
      <c r="E936" s="111">
        <v>73.842215999999993</v>
      </c>
      <c r="F936" s="111">
        <v>2</v>
      </c>
      <c r="G936" s="133">
        <v>0</v>
      </c>
      <c r="H936" s="111">
        <v>2.5</v>
      </c>
      <c r="I936" s="111">
        <v>0.5</v>
      </c>
      <c r="J936" s="111">
        <v>1.5</v>
      </c>
      <c r="K936" s="111">
        <v>0.5</v>
      </c>
      <c r="L936">
        <v>0</v>
      </c>
    </row>
    <row r="937" spans="1:12" x14ac:dyDescent="0.2">
      <c r="A937" s="111" t="s">
        <v>1001</v>
      </c>
      <c r="B937" s="132">
        <v>34</v>
      </c>
      <c r="C937" s="111">
        <v>172.72</v>
      </c>
      <c r="D937" s="111">
        <v>65.770840000000007</v>
      </c>
      <c r="E937" s="111">
        <v>68</v>
      </c>
      <c r="F937" s="111">
        <v>7</v>
      </c>
      <c r="G937" s="133">
        <v>0.42857142857142855</v>
      </c>
      <c r="H937" s="111">
        <v>42</v>
      </c>
      <c r="I937" s="111">
        <v>0.2857142857142857</v>
      </c>
      <c r="J937" s="111">
        <v>0.14285714285714285</v>
      </c>
      <c r="K937" s="111">
        <v>0.14285714285714285</v>
      </c>
      <c r="L937">
        <v>0</v>
      </c>
    </row>
    <row r="938" spans="1:12" x14ac:dyDescent="0.2">
      <c r="A938" s="111" t="s">
        <v>1002</v>
      </c>
      <c r="B938" s="132">
        <v>43</v>
      </c>
      <c r="C938" s="111">
        <v>175.26</v>
      </c>
      <c r="D938" s="111">
        <v>92.986360000000005</v>
      </c>
      <c r="E938" s="111">
        <v>70.826982000000001</v>
      </c>
      <c r="F938" s="111">
        <v>1</v>
      </c>
      <c r="G938" s="133">
        <v>1</v>
      </c>
      <c r="H938" s="111">
        <v>9</v>
      </c>
      <c r="I938" s="111">
        <v>2</v>
      </c>
      <c r="J938" s="111">
        <v>3</v>
      </c>
      <c r="K938" s="111">
        <v>4</v>
      </c>
      <c r="L938">
        <v>1</v>
      </c>
    </row>
    <row r="939" spans="1:12" x14ac:dyDescent="0.2">
      <c r="A939" s="111" t="s">
        <v>1003</v>
      </c>
      <c r="B939" s="132">
        <v>42</v>
      </c>
      <c r="C939" s="111">
        <v>177.8</v>
      </c>
      <c r="D939" s="111">
        <v>120.20188</v>
      </c>
      <c r="E939" s="111">
        <v>72</v>
      </c>
      <c r="F939" s="111">
        <v>11</v>
      </c>
      <c r="G939" s="133">
        <v>0.54545454545454541</v>
      </c>
      <c r="H939" s="111">
        <v>30.818181818181817</v>
      </c>
      <c r="I939" s="111">
        <v>0.63636363636363635</v>
      </c>
      <c r="J939" s="111">
        <v>9.0909090909090912E-2</v>
      </c>
      <c r="K939" s="111">
        <v>0.72727272727272729</v>
      </c>
      <c r="L939">
        <v>0</v>
      </c>
    </row>
    <row r="940" spans="1:12" x14ac:dyDescent="0.2">
      <c r="A940" s="111" t="s">
        <v>1004</v>
      </c>
      <c r="B940" s="132">
        <v>48</v>
      </c>
      <c r="C940" s="111">
        <v>190.5</v>
      </c>
      <c r="D940" s="111">
        <v>120.655472</v>
      </c>
      <c r="E940" s="111">
        <v>76.85745</v>
      </c>
      <c r="F940" s="111">
        <v>4</v>
      </c>
      <c r="G940" s="133">
        <v>1</v>
      </c>
      <c r="H940" s="111">
        <v>5.75</v>
      </c>
      <c r="I940" s="111">
        <v>0.75</v>
      </c>
      <c r="J940" s="111">
        <v>0.25</v>
      </c>
      <c r="K940" s="111">
        <v>1.25</v>
      </c>
      <c r="L940">
        <v>0</v>
      </c>
    </row>
    <row r="941" spans="1:12" x14ac:dyDescent="0.2">
      <c r="A941" s="111" t="s">
        <v>1005</v>
      </c>
      <c r="B941" s="132">
        <v>38</v>
      </c>
      <c r="C941" s="111">
        <v>182.88</v>
      </c>
      <c r="D941" s="111">
        <v>83.914519999999996</v>
      </c>
      <c r="E941" s="111">
        <v>72</v>
      </c>
      <c r="F941" s="111">
        <v>15</v>
      </c>
      <c r="G941" s="133">
        <v>0.6</v>
      </c>
      <c r="H941" s="111">
        <v>26.266666666666666</v>
      </c>
      <c r="I941" s="111">
        <v>1.8666666666666667</v>
      </c>
      <c r="J941" s="111">
        <v>0.33333333333333331</v>
      </c>
      <c r="K941" s="111">
        <v>0.8</v>
      </c>
      <c r="L941">
        <v>0</v>
      </c>
    </row>
    <row r="942" spans="1:12" x14ac:dyDescent="0.2">
      <c r="A942" s="111" t="s">
        <v>1006</v>
      </c>
      <c r="B942" s="132">
        <v>46</v>
      </c>
      <c r="C942" s="111">
        <v>182.88</v>
      </c>
      <c r="D942" s="111">
        <v>120.20188</v>
      </c>
      <c r="E942" s="111">
        <v>73.842215999999993</v>
      </c>
      <c r="F942" s="111">
        <v>1</v>
      </c>
      <c r="G942" s="133">
        <v>0</v>
      </c>
      <c r="H942" s="111">
        <v>0</v>
      </c>
      <c r="I942" s="111">
        <v>0</v>
      </c>
      <c r="J942" s="111">
        <v>0</v>
      </c>
      <c r="K942" s="111">
        <v>0</v>
      </c>
      <c r="L942">
        <v>0</v>
      </c>
    </row>
    <row r="943" spans="1:12" x14ac:dyDescent="0.2">
      <c r="A943" s="111" t="s">
        <v>1007</v>
      </c>
      <c r="B943" s="132" t="s">
        <v>1596</v>
      </c>
      <c r="C943" s="111">
        <v>175.26</v>
      </c>
      <c r="D943" s="111">
        <v>77.110640000000004</v>
      </c>
      <c r="E943" s="111">
        <v>70.826982000000001</v>
      </c>
      <c r="F943" s="111">
        <v>1</v>
      </c>
      <c r="G943" s="133">
        <v>0</v>
      </c>
      <c r="H943" s="111">
        <v>33</v>
      </c>
      <c r="I943" s="111">
        <v>3</v>
      </c>
      <c r="J943" s="111">
        <v>2</v>
      </c>
      <c r="K943" s="111">
        <v>0</v>
      </c>
      <c r="L943">
        <v>0</v>
      </c>
    </row>
    <row r="944" spans="1:12" x14ac:dyDescent="0.2">
      <c r="A944" s="111" t="s">
        <v>1008</v>
      </c>
      <c r="B944" s="132">
        <v>56</v>
      </c>
      <c r="C944" s="111">
        <v>175.26</v>
      </c>
      <c r="D944" s="111">
        <v>90.718400000000003</v>
      </c>
      <c r="E944" s="111">
        <v>70.826982000000001</v>
      </c>
      <c r="F944" s="111">
        <v>1</v>
      </c>
      <c r="G944" s="133">
        <v>1</v>
      </c>
      <c r="H944" s="111">
        <v>8</v>
      </c>
      <c r="I944" s="111">
        <v>3</v>
      </c>
      <c r="J944" s="111">
        <v>0</v>
      </c>
      <c r="K944" s="111">
        <v>5</v>
      </c>
      <c r="L944">
        <v>0</v>
      </c>
    </row>
    <row r="945" spans="1:12" x14ac:dyDescent="0.2">
      <c r="A945" s="111" t="s">
        <v>1009</v>
      </c>
      <c r="B945" s="132">
        <v>49</v>
      </c>
      <c r="C945" s="111">
        <v>187.96</v>
      </c>
      <c r="D945" s="111">
        <v>83.914519999999996</v>
      </c>
      <c r="E945" s="111">
        <v>75.852372000000003</v>
      </c>
      <c r="F945" s="111">
        <v>3</v>
      </c>
      <c r="G945" s="133">
        <v>0.33333333333333331</v>
      </c>
      <c r="H945" s="111">
        <v>8.3333333333333339</v>
      </c>
      <c r="I945" s="111">
        <v>0</v>
      </c>
      <c r="J945" s="111">
        <v>1</v>
      </c>
      <c r="K945" s="111">
        <v>0.33333333333333331</v>
      </c>
      <c r="L945">
        <v>1</v>
      </c>
    </row>
    <row r="946" spans="1:12" x14ac:dyDescent="0.2">
      <c r="A946" s="111" t="s">
        <v>1010</v>
      </c>
      <c r="B946" s="132">
        <v>24</v>
      </c>
      <c r="C946" s="111">
        <v>172.72</v>
      </c>
      <c r="D946" s="111">
        <v>61.234920000000002</v>
      </c>
      <c r="E946" s="111">
        <v>70</v>
      </c>
      <c r="F946" s="111">
        <v>2</v>
      </c>
      <c r="G946" s="133">
        <v>0.5</v>
      </c>
      <c r="H946" s="111">
        <v>25</v>
      </c>
      <c r="I946" s="111">
        <v>0.5</v>
      </c>
      <c r="J946" s="111">
        <v>2</v>
      </c>
      <c r="K946" s="111">
        <v>3.5</v>
      </c>
      <c r="L946">
        <v>0</v>
      </c>
    </row>
    <row r="947" spans="1:12" x14ac:dyDescent="0.2">
      <c r="A947" s="111" t="s">
        <v>1011</v>
      </c>
      <c r="B947" s="132">
        <v>34</v>
      </c>
      <c r="C947" s="111">
        <v>182.88</v>
      </c>
      <c r="D947" s="111">
        <v>77.110640000000004</v>
      </c>
      <c r="E947" s="111">
        <v>72</v>
      </c>
      <c r="F947" s="111">
        <v>17</v>
      </c>
      <c r="G947" s="133">
        <v>0.6470588235294118</v>
      </c>
      <c r="H947" s="111">
        <v>29.058823529411764</v>
      </c>
      <c r="I947" s="111">
        <v>1.1176470588235294</v>
      </c>
      <c r="J947" s="111">
        <v>1.2352941176470589</v>
      </c>
      <c r="K947" s="111">
        <v>1.2941176470588236</v>
      </c>
      <c r="L947">
        <v>0</v>
      </c>
    </row>
    <row r="948" spans="1:12" x14ac:dyDescent="0.2">
      <c r="A948" s="111" t="s">
        <v>1012</v>
      </c>
      <c r="B948" s="132">
        <v>45</v>
      </c>
      <c r="C948" s="111">
        <v>175.26</v>
      </c>
      <c r="D948" s="111">
        <v>83.914519999999996</v>
      </c>
      <c r="E948" s="111">
        <v>73</v>
      </c>
      <c r="F948" s="111">
        <v>5</v>
      </c>
      <c r="G948" s="133">
        <v>0.2</v>
      </c>
      <c r="H948" s="111">
        <v>13.8</v>
      </c>
      <c r="I948" s="111">
        <v>0.4</v>
      </c>
      <c r="J948" s="111">
        <v>0</v>
      </c>
      <c r="K948" s="111">
        <v>0.2</v>
      </c>
      <c r="L948">
        <v>0</v>
      </c>
    </row>
    <row r="949" spans="1:12" x14ac:dyDescent="0.2">
      <c r="A949" s="111" t="s">
        <v>1013</v>
      </c>
      <c r="B949" s="132">
        <v>25</v>
      </c>
      <c r="C949" s="111">
        <v>170.18</v>
      </c>
      <c r="D949" s="111">
        <v>52.163080000000001</v>
      </c>
      <c r="E949" s="111">
        <v>67</v>
      </c>
      <c r="F949" s="111">
        <v>2</v>
      </c>
      <c r="G949" s="133">
        <v>0.5</v>
      </c>
      <c r="H949" s="111">
        <v>33.5</v>
      </c>
      <c r="I949" s="111">
        <v>0</v>
      </c>
      <c r="J949" s="111">
        <v>0.5</v>
      </c>
      <c r="K949" s="111">
        <v>0</v>
      </c>
      <c r="L949">
        <v>0</v>
      </c>
    </row>
    <row r="950" spans="1:12" x14ac:dyDescent="0.2">
      <c r="A950" s="111" t="s">
        <v>1014</v>
      </c>
      <c r="B950" s="132">
        <v>34</v>
      </c>
      <c r="C950" s="111">
        <v>170.18</v>
      </c>
      <c r="D950" s="111">
        <v>61.234920000000002</v>
      </c>
      <c r="E950" s="111">
        <v>67</v>
      </c>
      <c r="F950" s="111">
        <v>3</v>
      </c>
      <c r="G950" s="133">
        <v>0.33333333333333331</v>
      </c>
      <c r="H950" s="111">
        <v>23.666666666666668</v>
      </c>
      <c r="I950" s="111">
        <v>1.3333333333333333</v>
      </c>
      <c r="J950" s="111">
        <v>1</v>
      </c>
      <c r="K950" s="111">
        <v>1.6666666666666667</v>
      </c>
      <c r="L950">
        <v>0</v>
      </c>
    </row>
    <row r="951" spans="1:12" x14ac:dyDescent="0.2">
      <c r="A951" s="111" t="s">
        <v>1015</v>
      </c>
      <c r="B951" s="132">
        <v>29</v>
      </c>
      <c r="C951" s="111">
        <v>177.8</v>
      </c>
      <c r="D951" s="111">
        <v>65.770840000000007</v>
      </c>
      <c r="E951" s="111">
        <v>70</v>
      </c>
      <c r="F951" s="111">
        <v>3</v>
      </c>
      <c r="G951" s="133">
        <v>0.33333333333333331</v>
      </c>
      <c r="H951" s="111">
        <v>26</v>
      </c>
      <c r="I951" s="111">
        <v>0.33333333333333331</v>
      </c>
      <c r="J951" s="111">
        <v>0</v>
      </c>
      <c r="K951" s="111">
        <v>0</v>
      </c>
      <c r="L951">
        <v>0</v>
      </c>
    </row>
    <row r="952" spans="1:12" x14ac:dyDescent="0.2">
      <c r="A952" s="111" t="s">
        <v>1016</v>
      </c>
      <c r="B952" s="132">
        <v>23</v>
      </c>
      <c r="F952" s="111">
        <v>1</v>
      </c>
      <c r="G952" s="133">
        <v>1</v>
      </c>
      <c r="H952" s="111">
        <v>46</v>
      </c>
      <c r="I952" s="111">
        <v>3</v>
      </c>
      <c r="J952" s="111">
        <v>3</v>
      </c>
      <c r="K952" s="111">
        <v>5</v>
      </c>
      <c r="L952">
        <v>0</v>
      </c>
    </row>
    <row r="953" spans="1:12" x14ac:dyDescent="0.2">
      <c r="A953" s="111" t="s">
        <v>1017</v>
      </c>
      <c r="B953" s="132">
        <v>33</v>
      </c>
      <c r="C953" s="111">
        <v>185.42</v>
      </c>
      <c r="D953" s="111">
        <v>77.110640000000004</v>
      </c>
      <c r="E953" s="111">
        <v>74</v>
      </c>
      <c r="F953" s="111">
        <v>2</v>
      </c>
      <c r="G953" s="133">
        <v>0</v>
      </c>
      <c r="H953" s="111">
        <v>29</v>
      </c>
      <c r="I953" s="111">
        <v>2.5</v>
      </c>
      <c r="J953" s="111">
        <v>1.5</v>
      </c>
      <c r="K953" s="111">
        <v>0.5</v>
      </c>
      <c r="L953">
        <v>0</v>
      </c>
    </row>
    <row r="954" spans="1:12" x14ac:dyDescent="0.2">
      <c r="A954" s="111" t="s">
        <v>1018</v>
      </c>
      <c r="B954" s="132" t="s">
        <v>1596</v>
      </c>
      <c r="C954" s="111">
        <v>187.96</v>
      </c>
      <c r="D954" s="111">
        <v>104.32616</v>
      </c>
      <c r="E954" s="111">
        <v>75.852372000000003</v>
      </c>
      <c r="F954" s="111">
        <v>1</v>
      </c>
      <c r="G954" s="133">
        <v>0</v>
      </c>
      <c r="H954" s="111">
        <v>0</v>
      </c>
      <c r="I954" s="111">
        <v>0</v>
      </c>
      <c r="J954" s="111">
        <v>0</v>
      </c>
      <c r="K954" s="111">
        <v>0</v>
      </c>
      <c r="L954">
        <v>1</v>
      </c>
    </row>
    <row r="955" spans="1:12" x14ac:dyDescent="0.2">
      <c r="A955" s="111" t="s">
        <v>1019</v>
      </c>
      <c r="B955" s="132">
        <v>34</v>
      </c>
      <c r="C955" s="111">
        <v>177.8</v>
      </c>
      <c r="D955" s="111">
        <v>77.110640000000004</v>
      </c>
      <c r="E955" s="111">
        <v>72</v>
      </c>
      <c r="F955" s="111">
        <v>3</v>
      </c>
      <c r="G955" s="133">
        <v>0.33333333333333331</v>
      </c>
      <c r="H955" s="111">
        <v>15.333333333333334</v>
      </c>
      <c r="I955" s="111">
        <v>1.3333333333333333</v>
      </c>
      <c r="J955" s="111">
        <v>3.3333333333333335</v>
      </c>
      <c r="K955" s="111">
        <v>0.66666666666666663</v>
      </c>
      <c r="L955">
        <v>0</v>
      </c>
    </row>
    <row r="956" spans="1:12" x14ac:dyDescent="0.2">
      <c r="A956" s="111" t="s">
        <v>1020</v>
      </c>
      <c r="B956" s="132">
        <v>35</v>
      </c>
      <c r="C956" s="111">
        <v>182.88</v>
      </c>
      <c r="D956" s="111">
        <v>77.110640000000004</v>
      </c>
      <c r="E956" s="111">
        <v>75</v>
      </c>
      <c r="F956" s="111">
        <v>20</v>
      </c>
      <c r="G956" s="133">
        <v>0.65</v>
      </c>
      <c r="H956" s="111">
        <v>36.200000000000003</v>
      </c>
      <c r="I956" s="111">
        <v>1.1499999999999999</v>
      </c>
      <c r="J956" s="111">
        <v>1.1499999999999999</v>
      </c>
      <c r="K956" s="111">
        <v>0.75</v>
      </c>
      <c r="L956">
        <v>0</v>
      </c>
    </row>
    <row r="957" spans="1:12" x14ac:dyDescent="0.2">
      <c r="A957" s="111" t="s">
        <v>1021</v>
      </c>
      <c r="B957" s="132">
        <v>27</v>
      </c>
      <c r="C957" s="111">
        <v>193.04</v>
      </c>
      <c r="D957" s="111">
        <v>77.110640000000004</v>
      </c>
      <c r="E957" s="111">
        <v>76</v>
      </c>
      <c r="F957" s="111">
        <v>4</v>
      </c>
      <c r="G957" s="133">
        <v>0.25</v>
      </c>
      <c r="H957" s="111">
        <v>22</v>
      </c>
      <c r="I957" s="111">
        <v>0.25</v>
      </c>
      <c r="J957" s="111">
        <v>0</v>
      </c>
      <c r="K957" s="111">
        <v>0</v>
      </c>
      <c r="L957">
        <v>0</v>
      </c>
    </row>
    <row r="958" spans="1:12" x14ac:dyDescent="0.2">
      <c r="A958" s="111" t="s">
        <v>1022</v>
      </c>
      <c r="B958" s="132">
        <v>35</v>
      </c>
      <c r="C958" s="111">
        <v>172.72</v>
      </c>
      <c r="D958" s="111">
        <v>65.770840000000007</v>
      </c>
      <c r="E958" s="111">
        <v>70</v>
      </c>
      <c r="F958" s="111">
        <v>7</v>
      </c>
      <c r="G958" s="133">
        <v>0.2857142857142857</v>
      </c>
      <c r="H958" s="111">
        <v>36</v>
      </c>
      <c r="I958" s="111">
        <v>1.2857142857142858</v>
      </c>
      <c r="J958" s="111">
        <v>0.2857142857142857</v>
      </c>
      <c r="K958" s="111">
        <v>3</v>
      </c>
      <c r="L958">
        <v>0</v>
      </c>
    </row>
    <row r="959" spans="1:12" x14ac:dyDescent="0.2">
      <c r="A959" s="111" t="s">
        <v>1023</v>
      </c>
      <c r="B959" s="132">
        <v>40</v>
      </c>
      <c r="C959" s="111">
        <v>185.42</v>
      </c>
      <c r="D959" s="111">
        <v>92.986360000000005</v>
      </c>
      <c r="E959" s="111">
        <v>76</v>
      </c>
      <c r="F959" s="111">
        <v>15</v>
      </c>
      <c r="G959" s="133">
        <v>0.66666666666666663</v>
      </c>
      <c r="H959" s="111">
        <v>38.06666666666667</v>
      </c>
      <c r="I959" s="111">
        <v>2.0666666666666669</v>
      </c>
      <c r="J959" s="111">
        <v>0</v>
      </c>
      <c r="K959" s="111">
        <v>0.73333333333333328</v>
      </c>
      <c r="L959">
        <v>0</v>
      </c>
    </row>
    <row r="960" spans="1:12" x14ac:dyDescent="0.2">
      <c r="A960" s="111" t="s">
        <v>1024</v>
      </c>
      <c r="B960" s="132">
        <v>29</v>
      </c>
      <c r="C960" s="111">
        <v>177.8</v>
      </c>
      <c r="D960" s="111">
        <v>61.234920000000002</v>
      </c>
      <c r="E960" s="111">
        <v>70</v>
      </c>
      <c r="F960" s="111">
        <v>3</v>
      </c>
      <c r="G960" s="133">
        <v>0.33333333333333331</v>
      </c>
      <c r="H960" s="111">
        <v>35.333333333333336</v>
      </c>
      <c r="I960" s="111">
        <v>2.6666666666666665</v>
      </c>
      <c r="J960" s="111">
        <v>0</v>
      </c>
      <c r="K960" s="111">
        <v>2.6666666666666665</v>
      </c>
      <c r="L960">
        <v>1</v>
      </c>
    </row>
    <row r="961" spans="1:12" x14ac:dyDescent="0.2">
      <c r="A961" s="111" t="s">
        <v>1025</v>
      </c>
      <c r="B961" s="132">
        <v>38</v>
      </c>
      <c r="C961" s="111">
        <v>185.42</v>
      </c>
      <c r="D961" s="111">
        <v>83.914519999999996</v>
      </c>
      <c r="E961" s="111">
        <v>74.847294000000005</v>
      </c>
      <c r="F961" s="111">
        <v>2</v>
      </c>
      <c r="G961" s="133">
        <v>0</v>
      </c>
      <c r="H961" s="111">
        <v>20</v>
      </c>
      <c r="I961" s="111">
        <v>0</v>
      </c>
      <c r="J961" s="111">
        <v>4</v>
      </c>
      <c r="K961" s="111">
        <v>1</v>
      </c>
      <c r="L961">
        <v>0</v>
      </c>
    </row>
    <row r="962" spans="1:12" x14ac:dyDescent="0.2">
      <c r="A962" s="111" t="s">
        <v>1026</v>
      </c>
      <c r="B962" s="132">
        <v>43</v>
      </c>
      <c r="C962" s="111">
        <v>175.26</v>
      </c>
      <c r="D962" s="111">
        <v>77.110640000000004</v>
      </c>
      <c r="E962" s="111">
        <v>73</v>
      </c>
      <c r="F962" s="111">
        <v>25</v>
      </c>
      <c r="G962" s="133">
        <v>0.72</v>
      </c>
      <c r="H962" s="111">
        <v>21.24</v>
      </c>
      <c r="I962" s="111">
        <v>1.96</v>
      </c>
      <c r="J962" s="111">
        <v>0.64</v>
      </c>
      <c r="K962" s="111">
        <v>3.12</v>
      </c>
      <c r="L962">
        <v>0</v>
      </c>
    </row>
    <row r="963" spans="1:12" x14ac:dyDescent="0.2">
      <c r="A963" s="111" t="s">
        <v>1027</v>
      </c>
      <c r="B963" s="132">
        <v>46</v>
      </c>
      <c r="C963" s="111">
        <v>182.88</v>
      </c>
      <c r="D963" s="111">
        <v>83.914519999999996</v>
      </c>
      <c r="E963" s="111">
        <v>74</v>
      </c>
      <c r="F963" s="111">
        <v>12</v>
      </c>
      <c r="G963" s="133">
        <v>0.75</v>
      </c>
      <c r="H963" s="111">
        <v>24</v>
      </c>
      <c r="I963" s="111">
        <v>2.25</v>
      </c>
      <c r="J963" s="111">
        <v>0.75</v>
      </c>
      <c r="K963" s="111">
        <v>2.0833333333333335</v>
      </c>
      <c r="L963">
        <v>1</v>
      </c>
    </row>
    <row r="964" spans="1:12" x14ac:dyDescent="0.2">
      <c r="A964" s="111" t="s">
        <v>1028</v>
      </c>
      <c r="B964" s="132" t="s">
        <v>1596</v>
      </c>
      <c r="C964" s="111">
        <v>185.42</v>
      </c>
      <c r="D964" s="111">
        <v>92.986360000000005</v>
      </c>
      <c r="E964" s="111">
        <v>74.847294000000005</v>
      </c>
      <c r="F964" s="111">
        <v>1</v>
      </c>
      <c r="G964" s="133">
        <v>0</v>
      </c>
      <c r="H964" s="111">
        <v>19</v>
      </c>
      <c r="I964" s="111">
        <v>1</v>
      </c>
      <c r="J964" s="111">
        <v>0</v>
      </c>
      <c r="K964" s="111">
        <v>1</v>
      </c>
      <c r="L964">
        <v>0</v>
      </c>
    </row>
    <row r="965" spans="1:12" x14ac:dyDescent="0.2">
      <c r="A965" s="111" t="s">
        <v>1029</v>
      </c>
      <c r="B965" s="132">
        <v>38</v>
      </c>
      <c r="C965" s="111">
        <v>190.5</v>
      </c>
      <c r="D965" s="111">
        <v>120.20188</v>
      </c>
      <c r="E965" s="111">
        <v>79</v>
      </c>
      <c r="F965" s="111">
        <v>14</v>
      </c>
      <c r="G965" s="133">
        <v>0.6428571428571429</v>
      </c>
      <c r="H965" s="111">
        <v>22.357142857142858</v>
      </c>
      <c r="I965" s="111">
        <v>0</v>
      </c>
      <c r="J965" s="111">
        <v>0.2857142857142857</v>
      </c>
      <c r="K965" s="111">
        <v>0.14285714285714285</v>
      </c>
      <c r="L965">
        <v>0</v>
      </c>
    </row>
    <row r="966" spans="1:12" x14ac:dyDescent="0.2">
      <c r="A966" s="111" t="s">
        <v>1581</v>
      </c>
      <c r="B966" s="132">
        <v>30</v>
      </c>
      <c r="C966" s="111">
        <v>185.42</v>
      </c>
      <c r="D966" s="111">
        <v>77.110640000000004</v>
      </c>
      <c r="E966" s="111">
        <v>74</v>
      </c>
      <c r="F966" s="111">
        <v>12</v>
      </c>
      <c r="G966" s="133">
        <v>0.58333333333333337</v>
      </c>
      <c r="H966" s="111">
        <v>43.166666666666664</v>
      </c>
      <c r="I966" s="111">
        <v>2.4166666666666665</v>
      </c>
      <c r="J966" s="111">
        <v>0.41666666666666669</v>
      </c>
      <c r="K966" s="111">
        <v>2.5833333333333335</v>
      </c>
      <c r="L966">
        <v>1</v>
      </c>
    </row>
    <row r="967" spans="1:12" x14ac:dyDescent="0.2">
      <c r="A967" s="111" t="s">
        <v>1030</v>
      </c>
      <c r="B967" s="132">
        <v>42</v>
      </c>
      <c r="C967" s="111">
        <v>167.64</v>
      </c>
      <c r="D967" s="111">
        <v>77.110640000000004</v>
      </c>
      <c r="E967" s="111">
        <v>68</v>
      </c>
      <c r="F967" s="111">
        <v>14</v>
      </c>
      <c r="G967" s="133">
        <v>0.5</v>
      </c>
      <c r="H967" s="111">
        <v>23.785714285714285</v>
      </c>
      <c r="I967" s="111">
        <v>1.6428571428571428</v>
      </c>
      <c r="J967" s="111">
        <v>0.7142857142857143</v>
      </c>
      <c r="K967" s="111">
        <v>3</v>
      </c>
      <c r="L967">
        <v>0</v>
      </c>
    </row>
    <row r="968" spans="1:12" x14ac:dyDescent="0.2">
      <c r="A968" s="111" t="s">
        <v>1031</v>
      </c>
      <c r="B968" s="132">
        <v>30</v>
      </c>
      <c r="C968" s="111">
        <v>195.58</v>
      </c>
      <c r="D968" s="111">
        <v>92.986360000000005</v>
      </c>
      <c r="E968" s="111">
        <v>76</v>
      </c>
      <c r="F968" s="111">
        <v>2</v>
      </c>
      <c r="G968" s="133">
        <v>0</v>
      </c>
      <c r="H968" s="111">
        <v>51</v>
      </c>
      <c r="I968" s="111">
        <v>0</v>
      </c>
      <c r="J968" s="111">
        <v>0</v>
      </c>
      <c r="K968" s="111">
        <v>0</v>
      </c>
      <c r="L968">
        <v>0</v>
      </c>
    </row>
    <row r="969" spans="1:12" x14ac:dyDescent="0.2">
      <c r="A969" s="111" t="s">
        <v>1032</v>
      </c>
      <c r="B969" s="132">
        <v>35</v>
      </c>
      <c r="C969" s="111">
        <v>180.34</v>
      </c>
      <c r="D969" s="111">
        <v>70.306759999999997</v>
      </c>
      <c r="E969" s="111">
        <v>72.837137999999996</v>
      </c>
      <c r="F969" s="111">
        <v>3</v>
      </c>
      <c r="G969" s="133">
        <v>0.33333333333333331</v>
      </c>
      <c r="H969" s="111">
        <v>7.666666666666667</v>
      </c>
      <c r="I969" s="111">
        <v>1.6666666666666667</v>
      </c>
      <c r="J969" s="111">
        <v>0.66666666666666663</v>
      </c>
      <c r="K969" s="111">
        <v>1</v>
      </c>
      <c r="L969">
        <v>0</v>
      </c>
    </row>
    <row r="970" spans="1:12" x14ac:dyDescent="0.2">
      <c r="A970" s="111" t="s">
        <v>1033</v>
      </c>
      <c r="B970" s="132">
        <v>33</v>
      </c>
      <c r="C970" s="111">
        <v>177.8</v>
      </c>
      <c r="D970" s="111">
        <v>70.306759999999997</v>
      </c>
      <c r="E970" s="111">
        <v>68</v>
      </c>
      <c r="F970" s="111">
        <v>15</v>
      </c>
      <c r="G970" s="133">
        <v>0.66666666666666663</v>
      </c>
      <c r="H970" s="111">
        <v>34.866666666666667</v>
      </c>
      <c r="I970" s="111">
        <v>1.6</v>
      </c>
      <c r="J970" s="111">
        <v>1.2</v>
      </c>
      <c r="K970" s="111">
        <v>1.5333333333333334</v>
      </c>
      <c r="L970">
        <v>0</v>
      </c>
    </row>
    <row r="971" spans="1:12" x14ac:dyDescent="0.2">
      <c r="A971" s="111" t="s">
        <v>1034</v>
      </c>
      <c r="B971" s="132">
        <v>55</v>
      </c>
      <c r="C971" s="111">
        <v>187.96</v>
      </c>
      <c r="D971" s="111">
        <v>100.243832</v>
      </c>
      <c r="E971" s="111">
        <v>75.852372000000003</v>
      </c>
      <c r="F971" s="111">
        <v>6</v>
      </c>
      <c r="G971" s="133">
        <v>0.66666666666666663</v>
      </c>
      <c r="H971" s="111">
        <v>21.333333333333332</v>
      </c>
      <c r="I971" s="111">
        <v>0</v>
      </c>
      <c r="J971" s="111">
        <v>0.5</v>
      </c>
      <c r="K971" s="111">
        <v>0.16666666666666666</v>
      </c>
      <c r="L971">
        <v>0</v>
      </c>
    </row>
    <row r="972" spans="1:12" x14ac:dyDescent="0.2">
      <c r="A972" s="111" t="s">
        <v>1035</v>
      </c>
      <c r="B972" s="132">
        <v>35</v>
      </c>
      <c r="C972" s="111">
        <v>185.42</v>
      </c>
      <c r="D972" s="111">
        <v>92.986360000000005</v>
      </c>
      <c r="E972" s="111">
        <v>76</v>
      </c>
      <c r="F972" s="111">
        <v>15</v>
      </c>
      <c r="G972" s="133">
        <v>0.46666666666666667</v>
      </c>
      <c r="H972" s="111">
        <v>36.799999999999997</v>
      </c>
      <c r="I972" s="111">
        <v>1.2666666666666666</v>
      </c>
      <c r="J972" s="111">
        <v>0.26666666666666666</v>
      </c>
      <c r="K972" s="111">
        <v>1.3333333333333333</v>
      </c>
      <c r="L972">
        <v>0</v>
      </c>
    </row>
    <row r="973" spans="1:12" x14ac:dyDescent="0.2">
      <c r="A973" s="111" t="s">
        <v>1036</v>
      </c>
      <c r="B973" s="132">
        <v>25</v>
      </c>
      <c r="C973" s="111">
        <v>180.34</v>
      </c>
      <c r="D973" s="111">
        <v>65.770840000000007</v>
      </c>
      <c r="E973" s="111">
        <v>69</v>
      </c>
      <c r="F973" s="111">
        <v>14</v>
      </c>
      <c r="G973" s="133">
        <v>0.7857142857142857</v>
      </c>
      <c r="H973" s="111">
        <v>61.571428571428569</v>
      </c>
      <c r="I973" s="111">
        <v>0.14285714285714285</v>
      </c>
      <c r="J973" s="111">
        <v>0.35714285714285715</v>
      </c>
      <c r="K973" s="111">
        <v>0.7857142857142857</v>
      </c>
      <c r="L973">
        <v>0</v>
      </c>
    </row>
    <row r="974" spans="1:12" x14ac:dyDescent="0.2">
      <c r="A974" s="111" t="s">
        <v>1037</v>
      </c>
      <c r="B974" s="132">
        <v>33</v>
      </c>
      <c r="C974" s="111">
        <v>172.72</v>
      </c>
      <c r="D974" s="111">
        <v>65.770840000000007</v>
      </c>
      <c r="E974" s="111">
        <v>71</v>
      </c>
      <c r="F974" s="111">
        <v>8</v>
      </c>
      <c r="G974" s="133">
        <v>0.5</v>
      </c>
      <c r="H974" s="111">
        <v>41.375</v>
      </c>
      <c r="I974" s="111">
        <v>1.375</v>
      </c>
      <c r="J974" s="111">
        <v>0.25</v>
      </c>
      <c r="K974" s="111">
        <v>0.625</v>
      </c>
      <c r="L974">
        <v>0</v>
      </c>
    </row>
    <row r="975" spans="1:12" x14ac:dyDescent="0.2">
      <c r="A975" s="111" t="s">
        <v>1038</v>
      </c>
      <c r="B975" s="132">
        <v>31</v>
      </c>
      <c r="C975" s="111">
        <v>185.42</v>
      </c>
      <c r="D975" s="111">
        <v>70.306759999999997</v>
      </c>
      <c r="E975" s="111">
        <v>75</v>
      </c>
      <c r="F975" s="111">
        <v>1</v>
      </c>
      <c r="G975" s="133">
        <v>0</v>
      </c>
      <c r="H975" s="111">
        <v>1</v>
      </c>
      <c r="I975" s="111">
        <v>0</v>
      </c>
      <c r="J975" s="111">
        <v>0</v>
      </c>
      <c r="K975" s="111">
        <v>0</v>
      </c>
      <c r="L975">
        <v>0</v>
      </c>
    </row>
    <row r="976" spans="1:12" x14ac:dyDescent="0.2">
      <c r="A976" s="111" t="s">
        <v>1039</v>
      </c>
      <c r="B976" s="132">
        <v>47</v>
      </c>
      <c r="C976" s="111">
        <v>182.88</v>
      </c>
      <c r="D976" s="111">
        <v>102.0582</v>
      </c>
      <c r="E976" s="111">
        <v>73.842215999999993</v>
      </c>
      <c r="F976" s="111">
        <v>1</v>
      </c>
      <c r="G976" s="133">
        <v>0</v>
      </c>
      <c r="H976" s="111">
        <v>1</v>
      </c>
      <c r="I976" s="111">
        <v>0</v>
      </c>
      <c r="J976" s="111">
        <v>0</v>
      </c>
      <c r="K976" s="111">
        <v>0</v>
      </c>
      <c r="L976">
        <v>0</v>
      </c>
    </row>
    <row r="977" spans="1:12" x14ac:dyDescent="0.2">
      <c r="A977" s="111" t="s">
        <v>1040</v>
      </c>
      <c r="B977" s="132">
        <v>33</v>
      </c>
      <c r="C977" s="111">
        <v>175.26</v>
      </c>
      <c r="D977" s="111">
        <v>70.306759999999997</v>
      </c>
      <c r="E977" s="111">
        <v>68</v>
      </c>
      <c r="F977" s="111">
        <v>22</v>
      </c>
      <c r="G977" s="133">
        <v>0.54545454545454541</v>
      </c>
      <c r="H977" s="111">
        <v>20.09090909090909</v>
      </c>
      <c r="I977" s="111">
        <v>0.63636363636363635</v>
      </c>
      <c r="J977" s="111">
        <v>9.0909090909090912E-2</v>
      </c>
      <c r="K977" s="111">
        <v>0.27272727272727271</v>
      </c>
      <c r="L977">
        <v>0</v>
      </c>
    </row>
    <row r="978" spans="1:12" x14ac:dyDescent="0.2">
      <c r="A978" s="111" t="s">
        <v>1041</v>
      </c>
      <c r="B978" s="132">
        <v>37</v>
      </c>
      <c r="C978" s="111">
        <v>185.42</v>
      </c>
      <c r="D978" s="111">
        <v>83.914519999999996</v>
      </c>
      <c r="E978" s="111">
        <v>72</v>
      </c>
      <c r="F978" s="111">
        <v>24</v>
      </c>
      <c r="G978" s="133">
        <v>0.70833333333333337</v>
      </c>
      <c r="H978" s="111">
        <v>53.541666666666664</v>
      </c>
      <c r="I978" s="111">
        <v>1.0833333333333333</v>
      </c>
      <c r="J978" s="111">
        <v>0.20833333333333334</v>
      </c>
      <c r="K978" s="111">
        <v>0.625</v>
      </c>
      <c r="L978">
        <v>0</v>
      </c>
    </row>
    <row r="979" spans="1:12" x14ac:dyDescent="0.2">
      <c r="A979" s="111" t="s">
        <v>1042</v>
      </c>
      <c r="B979" s="132">
        <v>29</v>
      </c>
      <c r="C979" s="111">
        <v>185.42</v>
      </c>
      <c r="D979" s="111">
        <v>70.306759999999997</v>
      </c>
      <c r="E979" s="111">
        <v>75</v>
      </c>
      <c r="F979" s="111">
        <v>8</v>
      </c>
      <c r="G979" s="133">
        <v>0.75</v>
      </c>
      <c r="H979" s="111">
        <v>20.75</v>
      </c>
      <c r="I979" s="111">
        <v>1.75</v>
      </c>
      <c r="J979" s="111">
        <v>0.75</v>
      </c>
      <c r="K979" s="111">
        <v>2</v>
      </c>
      <c r="L979">
        <v>1</v>
      </c>
    </row>
    <row r="980" spans="1:12" x14ac:dyDescent="0.2">
      <c r="A980" s="111" t="s">
        <v>1043</v>
      </c>
      <c r="B980" s="132">
        <v>25</v>
      </c>
      <c r="C980" s="111">
        <v>177.8</v>
      </c>
      <c r="D980" s="111">
        <v>77.110640000000004</v>
      </c>
      <c r="E980" s="111">
        <v>71</v>
      </c>
      <c r="F980" s="111">
        <v>1</v>
      </c>
      <c r="G980" s="133">
        <v>1</v>
      </c>
      <c r="H980" s="111">
        <v>27</v>
      </c>
      <c r="I980" s="111">
        <v>7</v>
      </c>
      <c r="J980" s="111">
        <v>0</v>
      </c>
      <c r="K980" s="111">
        <v>4</v>
      </c>
      <c r="L980">
        <v>0</v>
      </c>
    </row>
    <row r="981" spans="1:12" x14ac:dyDescent="0.2">
      <c r="A981" s="111" t="s">
        <v>1044</v>
      </c>
      <c r="B981" s="132">
        <v>42</v>
      </c>
      <c r="C981" s="111">
        <v>182.88</v>
      </c>
      <c r="D981" s="111">
        <v>77.110640000000004</v>
      </c>
      <c r="E981" s="111">
        <v>74</v>
      </c>
      <c r="F981" s="111">
        <v>4</v>
      </c>
      <c r="G981" s="133">
        <v>0.25</v>
      </c>
      <c r="H981" s="111">
        <v>16.5</v>
      </c>
      <c r="I981" s="111">
        <v>0.75</v>
      </c>
      <c r="J981" s="111">
        <v>0.5</v>
      </c>
      <c r="K981" s="111">
        <v>2.5</v>
      </c>
      <c r="L981">
        <v>0</v>
      </c>
    </row>
    <row r="982" spans="1:12" x14ac:dyDescent="0.2">
      <c r="A982" s="111" t="s">
        <v>1045</v>
      </c>
      <c r="B982" s="132">
        <v>30</v>
      </c>
      <c r="C982" s="111">
        <v>177.8</v>
      </c>
      <c r="D982" s="111">
        <v>70.306759999999997</v>
      </c>
      <c r="E982" s="111">
        <v>73</v>
      </c>
      <c r="F982" s="111">
        <v>14</v>
      </c>
      <c r="G982" s="133">
        <v>0.5714285714285714</v>
      </c>
      <c r="H982" s="111">
        <v>46.428571428571431</v>
      </c>
      <c r="I982" s="111">
        <v>0.5</v>
      </c>
      <c r="J982" s="111">
        <v>0</v>
      </c>
      <c r="K982" s="111">
        <v>0</v>
      </c>
      <c r="L982">
        <v>1</v>
      </c>
    </row>
    <row r="983" spans="1:12" x14ac:dyDescent="0.2">
      <c r="A983" s="111" t="s">
        <v>1046</v>
      </c>
      <c r="B983" s="132">
        <v>27</v>
      </c>
      <c r="C983" s="111">
        <v>182.88</v>
      </c>
      <c r="D983" s="111">
        <v>83.914519999999996</v>
      </c>
      <c r="E983" s="111">
        <v>73</v>
      </c>
      <c r="F983" s="111">
        <v>4</v>
      </c>
      <c r="G983" s="133">
        <v>0.25</v>
      </c>
      <c r="H983" s="111">
        <v>26.75</v>
      </c>
      <c r="I983" s="111">
        <v>1.25</v>
      </c>
      <c r="J983" s="111">
        <v>0</v>
      </c>
      <c r="K983" s="111">
        <v>1.25</v>
      </c>
      <c r="L983">
        <v>0</v>
      </c>
    </row>
    <row r="984" spans="1:12" x14ac:dyDescent="0.2">
      <c r="A984" s="111" t="s">
        <v>1047</v>
      </c>
      <c r="B984" s="132">
        <v>25</v>
      </c>
      <c r="C984" s="111">
        <v>180.34</v>
      </c>
      <c r="D984" s="111">
        <v>92.986360000000005</v>
      </c>
      <c r="E984" s="111">
        <v>72.837137999999996</v>
      </c>
      <c r="F984" s="111">
        <v>8</v>
      </c>
      <c r="G984" s="133">
        <v>0.75</v>
      </c>
      <c r="H984" s="111">
        <v>25.25</v>
      </c>
      <c r="I984" s="111">
        <v>0.75</v>
      </c>
      <c r="J984" s="111">
        <v>0.875</v>
      </c>
      <c r="K984" s="111">
        <v>0.5</v>
      </c>
      <c r="L984">
        <v>0</v>
      </c>
    </row>
    <row r="985" spans="1:12" x14ac:dyDescent="0.2">
      <c r="A985" s="111" t="s">
        <v>1048</v>
      </c>
      <c r="B985" s="132" t="s">
        <v>1596</v>
      </c>
      <c r="C985" s="111">
        <v>182.88</v>
      </c>
      <c r="D985" s="111">
        <v>92.986360000000005</v>
      </c>
      <c r="E985" s="111">
        <v>73.842215999999993</v>
      </c>
      <c r="F985" s="111">
        <v>2</v>
      </c>
      <c r="G985" s="133">
        <v>0</v>
      </c>
      <c r="H985" s="111">
        <v>7</v>
      </c>
      <c r="I985" s="111">
        <v>0</v>
      </c>
      <c r="J985" s="111">
        <v>0</v>
      </c>
      <c r="K985" s="111">
        <v>0</v>
      </c>
      <c r="L985">
        <v>0</v>
      </c>
    </row>
    <row r="986" spans="1:12" x14ac:dyDescent="0.2">
      <c r="A986" s="111" t="s">
        <v>1560</v>
      </c>
      <c r="B986" s="132">
        <v>33</v>
      </c>
      <c r="C986" s="111">
        <v>167.64</v>
      </c>
      <c r="D986" s="111">
        <v>70.306759999999997</v>
      </c>
      <c r="E986" s="111">
        <v>67</v>
      </c>
      <c r="F986" s="111">
        <v>5</v>
      </c>
      <c r="G986" s="133">
        <v>0.6</v>
      </c>
      <c r="H986" s="111">
        <v>27.4</v>
      </c>
      <c r="I986" s="111">
        <v>3.4</v>
      </c>
      <c r="J986" s="111">
        <v>0</v>
      </c>
      <c r="K986" s="111">
        <v>3.2</v>
      </c>
      <c r="L986">
        <v>0</v>
      </c>
    </row>
    <row r="987" spans="1:12" x14ac:dyDescent="0.2">
      <c r="A987" s="111" t="s">
        <v>1049</v>
      </c>
      <c r="B987" s="132">
        <v>30</v>
      </c>
      <c r="C987" s="111">
        <v>160.02000000000001</v>
      </c>
      <c r="D987" s="111">
        <v>52.163080000000001</v>
      </c>
      <c r="E987" s="111">
        <v>62</v>
      </c>
      <c r="F987" s="111">
        <v>1</v>
      </c>
      <c r="G987" s="133">
        <v>1</v>
      </c>
      <c r="H987" s="111">
        <v>47</v>
      </c>
      <c r="I987" s="111">
        <v>3</v>
      </c>
      <c r="J987" s="111">
        <v>4</v>
      </c>
      <c r="K987" s="111">
        <v>9</v>
      </c>
      <c r="L987">
        <v>0</v>
      </c>
    </row>
    <row r="988" spans="1:12" x14ac:dyDescent="0.2">
      <c r="A988" s="111" t="s">
        <v>1050</v>
      </c>
      <c r="B988" s="132">
        <v>41</v>
      </c>
      <c r="C988" s="111">
        <v>167.64</v>
      </c>
      <c r="D988" s="111">
        <v>65.770840000000007</v>
      </c>
      <c r="E988" s="111">
        <v>68</v>
      </c>
      <c r="F988" s="111">
        <v>7</v>
      </c>
      <c r="G988" s="133">
        <v>0.14285714285714285</v>
      </c>
      <c r="H988" s="111">
        <v>31</v>
      </c>
      <c r="I988" s="111">
        <v>1.1428571428571428</v>
      </c>
      <c r="J988" s="111">
        <v>1.1428571428571428</v>
      </c>
      <c r="K988" s="111">
        <v>1</v>
      </c>
      <c r="L988">
        <v>0</v>
      </c>
    </row>
    <row r="989" spans="1:12" x14ac:dyDescent="0.2">
      <c r="A989" s="111" t="s">
        <v>1051</v>
      </c>
      <c r="B989" s="132">
        <v>26</v>
      </c>
      <c r="C989" s="111">
        <v>165.1</v>
      </c>
      <c r="D989" s="111">
        <v>61.234920000000002</v>
      </c>
      <c r="E989" s="111">
        <v>67</v>
      </c>
      <c r="F989" s="111">
        <v>3</v>
      </c>
      <c r="G989" s="133">
        <v>0.66666666666666663</v>
      </c>
      <c r="H989" s="111">
        <v>33.333333333333336</v>
      </c>
      <c r="I989" s="111">
        <v>3</v>
      </c>
      <c r="J989" s="111">
        <v>0.33333333333333331</v>
      </c>
      <c r="K989" s="111">
        <v>2.6666666666666665</v>
      </c>
      <c r="L989">
        <v>0</v>
      </c>
    </row>
    <row r="990" spans="1:12" x14ac:dyDescent="0.2">
      <c r="A990" s="111" t="s">
        <v>1052</v>
      </c>
      <c r="B990" s="132">
        <v>29</v>
      </c>
      <c r="C990" s="111">
        <v>180.34</v>
      </c>
      <c r="D990" s="111">
        <v>70.306759999999997</v>
      </c>
      <c r="E990" s="111">
        <v>73</v>
      </c>
      <c r="F990" s="111">
        <v>3</v>
      </c>
      <c r="G990" s="133">
        <v>0.33333333333333331</v>
      </c>
      <c r="H990" s="111">
        <v>39</v>
      </c>
      <c r="I990" s="111">
        <v>0</v>
      </c>
      <c r="J990" s="111">
        <v>0</v>
      </c>
      <c r="K990" s="111">
        <v>1</v>
      </c>
      <c r="L990">
        <v>0</v>
      </c>
    </row>
    <row r="991" spans="1:12" x14ac:dyDescent="0.2">
      <c r="A991" s="111" t="s">
        <v>1053</v>
      </c>
      <c r="B991" s="132">
        <v>24</v>
      </c>
      <c r="C991" s="111">
        <v>187.96</v>
      </c>
      <c r="D991" s="111">
        <v>77.110640000000004</v>
      </c>
      <c r="E991" s="111">
        <v>76</v>
      </c>
      <c r="F991" s="111">
        <v>1</v>
      </c>
      <c r="G991" s="133">
        <v>1</v>
      </c>
      <c r="H991" s="111">
        <v>2</v>
      </c>
      <c r="I991" s="111">
        <v>0</v>
      </c>
      <c r="J991" s="111">
        <v>1</v>
      </c>
      <c r="K991" s="111">
        <v>1</v>
      </c>
      <c r="L991">
        <v>0</v>
      </c>
    </row>
    <row r="992" spans="1:12" x14ac:dyDescent="0.2">
      <c r="A992" s="111" t="s">
        <v>1054</v>
      </c>
      <c r="B992" s="132">
        <v>30</v>
      </c>
      <c r="C992" s="111">
        <v>167.64</v>
      </c>
      <c r="D992" s="111">
        <v>61.234920000000002</v>
      </c>
      <c r="E992" s="111">
        <v>65</v>
      </c>
      <c r="F992" s="111">
        <v>6</v>
      </c>
      <c r="G992" s="133">
        <v>0.66666666666666663</v>
      </c>
      <c r="H992" s="111">
        <v>35</v>
      </c>
      <c r="I992" s="111">
        <v>1.1666666666666667</v>
      </c>
      <c r="J992" s="111">
        <v>1.5</v>
      </c>
      <c r="K992" s="111">
        <v>2.5</v>
      </c>
      <c r="L992">
        <v>0</v>
      </c>
    </row>
    <row r="993" spans="1:12" x14ac:dyDescent="0.2">
      <c r="A993" s="111" t="s">
        <v>1055</v>
      </c>
      <c r="B993" s="132">
        <v>35</v>
      </c>
      <c r="C993" s="111">
        <v>175.26</v>
      </c>
      <c r="D993" s="111">
        <v>61.234920000000002</v>
      </c>
      <c r="E993" s="111">
        <v>76</v>
      </c>
      <c r="F993" s="111">
        <v>4</v>
      </c>
      <c r="G993" s="133">
        <v>0.5</v>
      </c>
      <c r="H993" s="111">
        <v>38.75</v>
      </c>
      <c r="I993" s="111">
        <v>0</v>
      </c>
      <c r="J993" s="111">
        <v>0.75</v>
      </c>
      <c r="K993" s="111">
        <v>1.25</v>
      </c>
      <c r="L993">
        <v>0</v>
      </c>
    </row>
    <row r="994" spans="1:12" x14ac:dyDescent="0.2">
      <c r="A994" s="111" t="s">
        <v>1056</v>
      </c>
      <c r="B994" s="132">
        <v>37</v>
      </c>
      <c r="C994" s="111">
        <v>182.88</v>
      </c>
      <c r="D994" s="111">
        <v>106.59412</v>
      </c>
      <c r="E994" s="111">
        <v>73.842215999999993</v>
      </c>
      <c r="F994" s="111">
        <v>2</v>
      </c>
      <c r="G994" s="133">
        <v>0.5</v>
      </c>
      <c r="H994" s="111">
        <v>1.5</v>
      </c>
      <c r="I994" s="111">
        <v>0</v>
      </c>
      <c r="J994" s="111">
        <v>1</v>
      </c>
      <c r="K994" s="111">
        <v>0</v>
      </c>
      <c r="L994">
        <v>0</v>
      </c>
    </row>
    <row r="995" spans="1:12" x14ac:dyDescent="0.2">
      <c r="A995" s="111" t="s">
        <v>1057</v>
      </c>
      <c r="B995" s="132">
        <v>30</v>
      </c>
      <c r="C995" s="111">
        <v>180.34</v>
      </c>
      <c r="D995" s="111">
        <v>65.770840000000007</v>
      </c>
      <c r="E995" s="111">
        <v>71</v>
      </c>
      <c r="F995" s="111">
        <v>5</v>
      </c>
      <c r="G995" s="133">
        <v>0.4</v>
      </c>
      <c r="H995" s="111">
        <v>24.8</v>
      </c>
      <c r="I995" s="111">
        <v>0.4</v>
      </c>
      <c r="J995" s="111">
        <v>0.4</v>
      </c>
      <c r="K995" s="111">
        <v>0.2</v>
      </c>
      <c r="L995">
        <v>0</v>
      </c>
    </row>
    <row r="996" spans="1:12" x14ac:dyDescent="0.2">
      <c r="A996" s="111" t="s">
        <v>1058</v>
      </c>
      <c r="B996" s="132">
        <v>32</v>
      </c>
      <c r="C996" s="111">
        <v>167.64</v>
      </c>
      <c r="D996" s="111">
        <v>61.234920000000002</v>
      </c>
      <c r="E996" s="111">
        <v>70</v>
      </c>
      <c r="F996" s="111">
        <v>7</v>
      </c>
      <c r="G996" s="133">
        <v>0.42857142857142855</v>
      </c>
      <c r="H996" s="111">
        <v>50.142857142857146</v>
      </c>
      <c r="I996" s="111">
        <v>0.7142857142857143</v>
      </c>
      <c r="J996" s="111">
        <v>0</v>
      </c>
      <c r="K996" s="111">
        <v>0.8571428571428571</v>
      </c>
      <c r="L996">
        <v>1</v>
      </c>
    </row>
    <row r="997" spans="1:12" x14ac:dyDescent="0.2">
      <c r="A997" s="111" t="s">
        <v>1059</v>
      </c>
      <c r="B997" s="132">
        <v>31</v>
      </c>
      <c r="C997" s="111">
        <v>187.96</v>
      </c>
      <c r="D997" s="111">
        <v>77.110640000000004</v>
      </c>
      <c r="E997" s="111">
        <v>75.852372000000003</v>
      </c>
      <c r="F997" s="111">
        <v>1</v>
      </c>
      <c r="G997" s="133">
        <v>0</v>
      </c>
      <c r="H997" s="111">
        <v>3</v>
      </c>
      <c r="I997" s="111">
        <v>0</v>
      </c>
      <c r="J997" s="111">
        <v>0</v>
      </c>
      <c r="K997" s="111">
        <v>0</v>
      </c>
      <c r="L997">
        <v>0</v>
      </c>
    </row>
    <row r="998" spans="1:12" x14ac:dyDescent="0.2">
      <c r="A998" s="111" t="s">
        <v>1060</v>
      </c>
      <c r="B998" s="132">
        <v>33</v>
      </c>
      <c r="C998" s="111">
        <v>190.5</v>
      </c>
      <c r="D998" s="111">
        <v>83.914519999999996</v>
      </c>
      <c r="E998" s="111">
        <v>75</v>
      </c>
      <c r="F998" s="111">
        <v>1</v>
      </c>
      <c r="G998" s="133">
        <v>0</v>
      </c>
      <c r="H998" s="111">
        <v>38</v>
      </c>
      <c r="I998" s="111">
        <v>1</v>
      </c>
      <c r="J998" s="111">
        <v>2</v>
      </c>
      <c r="K998" s="111">
        <v>3</v>
      </c>
      <c r="L998">
        <v>0</v>
      </c>
    </row>
    <row r="999" spans="1:12" x14ac:dyDescent="0.2">
      <c r="A999" s="111" t="s">
        <v>1061</v>
      </c>
      <c r="B999" s="132">
        <v>36</v>
      </c>
      <c r="C999" s="111">
        <v>193.04</v>
      </c>
      <c r="D999" s="111">
        <v>92.986360000000005</v>
      </c>
      <c r="E999" s="111">
        <v>77</v>
      </c>
      <c r="F999" s="111">
        <v>3</v>
      </c>
      <c r="G999" s="133">
        <v>0.66666666666666663</v>
      </c>
      <c r="H999" s="111">
        <v>10</v>
      </c>
      <c r="I999" s="111">
        <v>0.33333333333333331</v>
      </c>
      <c r="J999" s="111">
        <v>0.33333333333333331</v>
      </c>
      <c r="K999" s="111">
        <v>0.33333333333333331</v>
      </c>
      <c r="L999">
        <v>0</v>
      </c>
    </row>
    <row r="1000" spans="1:12" x14ac:dyDescent="0.2">
      <c r="A1000" s="111" t="s">
        <v>1062</v>
      </c>
      <c r="B1000" s="132">
        <v>37</v>
      </c>
      <c r="C1000" s="111">
        <v>172.72</v>
      </c>
      <c r="D1000" s="111">
        <v>65.770840000000007</v>
      </c>
      <c r="E1000" s="111">
        <v>69.821904000000004</v>
      </c>
      <c r="F1000" s="111">
        <v>2</v>
      </c>
      <c r="G1000" s="133">
        <v>0</v>
      </c>
      <c r="H1000" s="111">
        <v>31.5</v>
      </c>
      <c r="I1000" s="111">
        <v>1</v>
      </c>
      <c r="J1000" s="111">
        <v>0.5</v>
      </c>
      <c r="K1000" s="111">
        <v>0</v>
      </c>
      <c r="L1000">
        <v>0</v>
      </c>
    </row>
    <row r="1001" spans="1:12" x14ac:dyDescent="0.2">
      <c r="A1001" s="111" t="s">
        <v>1063</v>
      </c>
      <c r="B1001" s="132">
        <v>34</v>
      </c>
      <c r="C1001" s="111">
        <v>187.96</v>
      </c>
      <c r="D1001" s="111">
        <v>83.914519999999996</v>
      </c>
      <c r="E1001" s="111">
        <v>73</v>
      </c>
      <c r="F1001" s="111">
        <v>7</v>
      </c>
      <c r="G1001" s="133">
        <v>0.2857142857142857</v>
      </c>
      <c r="H1001" s="111">
        <v>16.285714285714285</v>
      </c>
      <c r="I1001" s="111">
        <v>1.4285714285714286</v>
      </c>
      <c r="J1001" s="111">
        <v>0.7142857142857143</v>
      </c>
      <c r="K1001" s="111">
        <v>1.2857142857142858</v>
      </c>
      <c r="L1001">
        <v>1</v>
      </c>
    </row>
    <row r="1002" spans="1:12" x14ac:dyDescent="0.2">
      <c r="A1002" s="111" t="s">
        <v>1064</v>
      </c>
      <c r="B1002" s="132">
        <v>45</v>
      </c>
      <c r="C1002" s="111">
        <v>193.04</v>
      </c>
      <c r="D1002" s="111">
        <v>92.986360000000005</v>
      </c>
      <c r="E1002" s="111">
        <v>77.862527999999998</v>
      </c>
      <c r="F1002" s="111">
        <v>2</v>
      </c>
      <c r="G1002" s="133">
        <v>0.5</v>
      </c>
      <c r="H1002" s="111">
        <v>12</v>
      </c>
      <c r="I1002" s="111">
        <v>2</v>
      </c>
      <c r="J1002" s="111">
        <v>0.5</v>
      </c>
      <c r="K1002" s="111">
        <v>0.5</v>
      </c>
      <c r="L1002">
        <v>0</v>
      </c>
    </row>
    <row r="1003" spans="1:12" x14ac:dyDescent="0.2">
      <c r="A1003" s="111" t="s">
        <v>1065</v>
      </c>
      <c r="B1003" s="132">
        <v>36</v>
      </c>
      <c r="C1003" s="111">
        <v>172.72</v>
      </c>
      <c r="D1003" s="111">
        <v>77.110640000000004</v>
      </c>
      <c r="E1003" s="111">
        <v>70</v>
      </c>
      <c r="F1003" s="111">
        <v>14</v>
      </c>
      <c r="G1003" s="133">
        <v>0.6428571428571429</v>
      </c>
      <c r="H1003" s="111">
        <v>31.571428571428573</v>
      </c>
      <c r="I1003" s="111">
        <v>2.2142857142857144</v>
      </c>
      <c r="J1003" s="111">
        <v>0.21428571428571427</v>
      </c>
      <c r="K1003" s="111">
        <v>0.8571428571428571</v>
      </c>
      <c r="L1003">
        <v>0</v>
      </c>
    </row>
    <row r="1004" spans="1:12" x14ac:dyDescent="0.2">
      <c r="A1004" s="111" t="s">
        <v>1066</v>
      </c>
      <c r="B1004" s="132">
        <v>41</v>
      </c>
      <c r="C1004" s="111">
        <v>182.88</v>
      </c>
      <c r="D1004" s="111">
        <v>77.110640000000004</v>
      </c>
      <c r="E1004" s="111">
        <v>74</v>
      </c>
      <c r="F1004" s="111">
        <v>16</v>
      </c>
      <c r="G1004" s="133">
        <v>0.625</v>
      </c>
      <c r="H1004" s="111">
        <v>23.25</v>
      </c>
      <c r="I1004" s="111">
        <v>1</v>
      </c>
      <c r="J1004" s="111">
        <v>0.8125</v>
      </c>
      <c r="K1004" s="111">
        <v>1.0625</v>
      </c>
      <c r="L1004">
        <v>0</v>
      </c>
    </row>
    <row r="1005" spans="1:12" x14ac:dyDescent="0.2">
      <c r="A1005" s="111" t="s">
        <v>1067</v>
      </c>
      <c r="B1005" s="132">
        <v>27</v>
      </c>
      <c r="C1005" s="111">
        <v>185.42</v>
      </c>
      <c r="D1005" s="111">
        <v>77.110640000000004</v>
      </c>
      <c r="E1005" s="111">
        <v>74</v>
      </c>
      <c r="F1005" s="111">
        <v>3</v>
      </c>
      <c r="G1005" s="133">
        <v>0</v>
      </c>
      <c r="H1005" s="111">
        <v>33.333333333333336</v>
      </c>
      <c r="I1005" s="111">
        <v>0.66666666666666663</v>
      </c>
      <c r="J1005" s="111">
        <v>0.33333333333333331</v>
      </c>
      <c r="K1005" s="111">
        <v>0</v>
      </c>
      <c r="L1005">
        <v>0</v>
      </c>
    </row>
    <row r="1006" spans="1:12" x14ac:dyDescent="0.2">
      <c r="A1006" s="111" t="s">
        <v>1068</v>
      </c>
      <c r="B1006" s="132">
        <v>30</v>
      </c>
      <c r="C1006" s="111">
        <v>182.88</v>
      </c>
      <c r="D1006" s="111">
        <v>70.306759999999997</v>
      </c>
      <c r="E1006" s="111">
        <v>77</v>
      </c>
      <c r="F1006" s="111">
        <v>3</v>
      </c>
      <c r="G1006" s="133">
        <v>0.33333333333333331</v>
      </c>
      <c r="H1006" s="111">
        <v>27</v>
      </c>
      <c r="I1006" s="111">
        <v>0.66666666666666663</v>
      </c>
      <c r="J1006" s="111">
        <v>0</v>
      </c>
      <c r="K1006" s="111">
        <v>1</v>
      </c>
      <c r="L1006">
        <v>1</v>
      </c>
    </row>
    <row r="1007" spans="1:12" x14ac:dyDescent="0.2">
      <c r="A1007" s="111" t="s">
        <v>1069</v>
      </c>
      <c r="B1007" s="132">
        <v>35</v>
      </c>
      <c r="C1007" s="111">
        <v>177.8</v>
      </c>
      <c r="D1007" s="111">
        <v>70.306759999999997</v>
      </c>
      <c r="E1007" s="111">
        <v>71</v>
      </c>
      <c r="F1007" s="111">
        <v>4</v>
      </c>
      <c r="G1007" s="133">
        <v>0.25</v>
      </c>
      <c r="H1007" s="111">
        <v>12.25</v>
      </c>
      <c r="I1007" s="111">
        <v>1.25</v>
      </c>
      <c r="J1007" s="111">
        <v>0.5</v>
      </c>
      <c r="K1007" s="111">
        <v>1.25</v>
      </c>
      <c r="L1007">
        <v>0</v>
      </c>
    </row>
    <row r="1008" spans="1:12" x14ac:dyDescent="0.2">
      <c r="A1008" s="111" t="s">
        <v>1070</v>
      </c>
      <c r="B1008" s="132">
        <v>40</v>
      </c>
      <c r="C1008" s="111">
        <v>185.42</v>
      </c>
      <c r="D1008" s="111">
        <v>115.66596</v>
      </c>
      <c r="E1008" s="111">
        <v>73</v>
      </c>
      <c r="F1008" s="111">
        <v>6</v>
      </c>
      <c r="G1008" s="133">
        <v>0.66666666666666663</v>
      </c>
      <c r="H1008" s="111">
        <v>16.333333333333332</v>
      </c>
      <c r="I1008" s="111">
        <v>3</v>
      </c>
      <c r="J1008" s="111">
        <v>0.33333333333333331</v>
      </c>
      <c r="K1008" s="111">
        <v>0.83333333333333337</v>
      </c>
      <c r="L1008">
        <v>0</v>
      </c>
    </row>
    <row r="1009" spans="1:12" x14ac:dyDescent="0.2">
      <c r="A1009" s="111" t="s">
        <v>1071</v>
      </c>
      <c r="B1009" s="132">
        <v>30</v>
      </c>
      <c r="C1009" s="111">
        <v>177.8</v>
      </c>
      <c r="D1009" s="111">
        <v>77.110640000000004</v>
      </c>
      <c r="E1009" s="111">
        <v>71</v>
      </c>
      <c r="F1009" s="111">
        <v>2</v>
      </c>
      <c r="G1009" s="133">
        <v>0</v>
      </c>
      <c r="H1009" s="111">
        <v>31.5</v>
      </c>
      <c r="I1009" s="111">
        <v>1</v>
      </c>
      <c r="J1009" s="111">
        <v>0.5</v>
      </c>
      <c r="K1009" s="111">
        <v>1</v>
      </c>
      <c r="L1009">
        <v>0</v>
      </c>
    </row>
    <row r="1010" spans="1:12" x14ac:dyDescent="0.2">
      <c r="A1010" s="111" t="s">
        <v>1072</v>
      </c>
      <c r="B1010" s="132">
        <v>37</v>
      </c>
      <c r="C1010" s="111">
        <v>185.42</v>
      </c>
      <c r="D1010" s="111">
        <v>77.110640000000004</v>
      </c>
      <c r="E1010" s="111">
        <v>77</v>
      </c>
      <c r="F1010" s="111">
        <v>15</v>
      </c>
      <c r="G1010" s="133">
        <v>0.66666666666666663</v>
      </c>
      <c r="H1010" s="111">
        <v>19.133333333333333</v>
      </c>
      <c r="I1010" s="111">
        <v>0.53333333333333333</v>
      </c>
      <c r="J1010" s="111">
        <v>0.33333333333333331</v>
      </c>
      <c r="K1010" s="111">
        <v>0.93333333333333335</v>
      </c>
      <c r="L1010">
        <v>0</v>
      </c>
    </row>
    <row r="1011" spans="1:12" x14ac:dyDescent="0.2">
      <c r="A1011" s="111" t="s">
        <v>1073</v>
      </c>
      <c r="B1011" s="132">
        <v>41</v>
      </c>
      <c r="C1011" s="111">
        <v>167.64</v>
      </c>
      <c r="D1011" s="111">
        <v>65.770840000000007</v>
      </c>
      <c r="E1011" s="111">
        <v>70</v>
      </c>
      <c r="F1011" s="111">
        <v>6</v>
      </c>
      <c r="G1011" s="133">
        <v>0.33333333333333331</v>
      </c>
      <c r="H1011" s="111">
        <v>32.833333333333336</v>
      </c>
      <c r="I1011" s="111">
        <v>2.1666666666666665</v>
      </c>
      <c r="J1011" s="111">
        <v>0</v>
      </c>
      <c r="K1011" s="111">
        <v>1.3333333333333333</v>
      </c>
      <c r="L1011">
        <v>0</v>
      </c>
    </row>
    <row r="1012" spans="1:12" x14ac:dyDescent="0.2">
      <c r="A1012" s="111" t="s">
        <v>1591</v>
      </c>
      <c r="B1012" s="132">
        <v>51</v>
      </c>
      <c r="C1012" s="111">
        <v>187.96</v>
      </c>
      <c r="D1012" s="111">
        <v>92.986360000000005</v>
      </c>
      <c r="E1012" s="111">
        <v>75.852372000000003</v>
      </c>
      <c r="F1012" s="111">
        <v>4</v>
      </c>
      <c r="G1012" s="133">
        <v>0.5</v>
      </c>
      <c r="H1012" s="111">
        <v>17.5</v>
      </c>
      <c r="I1012" s="111">
        <v>0.75</v>
      </c>
      <c r="J1012" s="111">
        <v>0.25</v>
      </c>
      <c r="K1012" s="111">
        <v>2.25</v>
      </c>
      <c r="L1012">
        <v>0</v>
      </c>
    </row>
    <row r="1013" spans="1:12" x14ac:dyDescent="0.2">
      <c r="A1013" s="111" t="s">
        <v>1074</v>
      </c>
      <c r="B1013" s="132">
        <v>39</v>
      </c>
      <c r="C1013" s="111">
        <v>182.88</v>
      </c>
      <c r="D1013" s="111">
        <v>117.93392</v>
      </c>
      <c r="E1013" s="111">
        <v>73.842215999999993</v>
      </c>
      <c r="F1013" s="111">
        <v>1</v>
      </c>
      <c r="G1013" s="133">
        <v>0</v>
      </c>
      <c r="H1013" s="111">
        <v>13</v>
      </c>
      <c r="I1013" s="111">
        <v>3</v>
      </c>
      <c r="J1013" s="111">
        <v>0</v>
      </c>
      <c r="K1013" s="111">
        <v>3</v>
      </c>
      <c r="L1013">
        <v>0</v>
      </c>
    </row>
    <row r="1014" spans="1:12" x14ac:dyDescent="0.2">
      <c r="A1014" s="111" t="s">
        <v>1075</v>
      </c>
      <c r="B1014" s="132">
        <v>35</v>
      </c>
      <c r="C1014" s="111">
        <v>185.42</v>
      </c>
      <c r="D1014" s="111">
        <v>92.986360000000005</v>
      </c>
      <c r="E1014" s="111">
        <v>74.847294000000005</v>
      </c>
      <c r="F1014" s="111">
        <v>1</v>
      </c>
      <c r="G1014" s="133">
        <v>0</v>
      </c>
      <c r="H1014" s="111">
        <v>27</v>
      </c>
      <c r="I1014" s="111">
        <v>5</v>
      </c>
      <c r="J1014" s="111">
        <v>0</v>
      </c>
      <c r="K1014" s="111">
        <v>3</v>
      </c>
      <c r="L1014">
        <v>0</v>
      </c>
    </row>
    <row r="1015" spans="1:12" x14ac:dyDescent="0.2">
      <c r="A1015" s="111" t="s">
        <v>1076</v>
      </c>
      <c r="B1015" s="132">
        <v>29</v>
      </c>
      <c r="C1015" s="111">
        <v>170.18</v>
      </c>
      <c r="D1015" s="111">
        <v>65.770840000000007</v>
      </c>
      <c r="E1015" s="111">
        <v>68</v>
      </c>
      <c r="F1015" s="111">
        <v>3</v>
      </c>
      <c r="G1015" s="133">
        <v>0.66666666666666663</v>
      </c>
      <c r="H1015" s="111">
        <v>21.333333333333332</v>
      </c>
      <c r="I1015" s="111">
        <v>0.66666666666666663</v>
      </c>
      <c r="J1015" s="111">
        <v>0</v>
      </c>
      <c r="K1015" s="111">
        <v>0</v>
      </c>
      <c r="L1015">
        <v>0</v>
      </c>
    </row>
    <row r="1016" spans="1:12" x14ac:dyDescent="0.2">
      <c r="A1016" s="111" t="s">
        <v>1077</v>
      </c>
      <c r="B1016" s="132">
        <v>42</v>
      </c>
      <c r="C1016" s="111">
        <v>167.64</v>
      </c>
      <c r="D1016" s="111">
        <v>77.110640000000004</v>
      </c>
      <c r="E1016" s="111">
        <v>67.811747999999994</v>
      </c>
      <c r="F1016" s="111">
        <v>3</v>
      </c>
      <c r="G1016" s="133">
        <v>0.66666666666666663</v>
      </c>
      <c r="H1016" s="111">
        <v>36</v>
      </c>
      <c r="I1016" s="111">
        <v>1</v>
      </c>
      <c r="J1016" s="111">
        <v>1.3333333333333333</v>
      </c>
      <c r="K1016" s="111">
        <v>0</v>
      </c>
      <c r="L1016">
        <v>0</v>
      </c>
    </row>
    <row r="1017" spans="1:12" x14ac:dyDescent="0.2">
      <c r="A1017" s="111" t="s">
        <v>1078</v>
      </c>
      <c r="B1017" s="132">
        <v>27</v>
      </c>
      <c r="C1017" s="111">
        <v>160.02000000000001</v>
      </c>
      <c r="D1017" s="111">
        <v>61.234920000000002</v>
      </c>
      <c r="E1017" s="111">
        <v>61</v>
      </c>
      <c r="F1017" s="111">
        <v>2</v>
      </c>
      <c r="G1017" s="133">
        <v>0.5</v>
      </c>
      <c r="H1017" s="111">
        <v>5.5</v>
      </c>
      <c r="I1017" s="111">
        <v>1.5</v>
      </c>
      <c r="J1017" s="111">
        <v>0</v>
      </c>
      <c r="K1017" s="111">
        <v>1.5</v>
      </c>
      <c r="L1017">
        <v>0</v>
      </c>
    </row>
    <row r="1018" spans="1:12" x14ac:dyDescent="0.2">
      <c r="A1018" s="111" t="s">
        <v>1079</v>
      </c>
      <c r="B1018" s="132">
        <v>38</v>
      </c>
      <c r="C1018" s="111">
        <v>182.88</v>
      </c>
      <c r="D1018" s="111">
        <v>65.770840000000007</v>
      </c>
      <c r="E1018" s="111">
        <v>72</v>
      </c>
      <c r="F1018" s="111">
        <v>2</v>
      </c>
      <c r="G1018" s="133">
        <v>0</v>
      </c>
      <c r="H1018" s="111">
        <v>23.5</v>
      </c>
      <c r="I1018" s="111">
        <v>3</v>
      </c>
      <c r="J1018" s="111">
        <v>0</v>
      </c>
      <c r="K1018" s="111">
        <v>1.5</v>
      </c>
      <c r="L1018">
        <v>0</v>
      </c>
    </row>
    <row r="1019" spans="1:12" x14ac:dyDescent="0.2">
      <c r="A1019" s="111" t="s">
        <v>1080</v>
      </c>
      <c r="B1019" s="132" t="s">
        <v>1596</v>
      </c>
      <c r="C1019" s="111">
        <v>170.18</v>
      </c>
      <c r="D1019" s="111">
        <v>80.739375999999993</v>
      </c>
      <c r="E1019" s="111">
        <v>68.816826000000006</v>
      </c>
      <c r="F1019" s="111">
        <v>1</v>
      </c>
      <c r="G1019" s="133">
        <v>0</v>
      </c>
      <c r="H1019" s="111">
        <v>3</v>
      </c>
      <c r="I1019" s="111">
        <v>0</v>
      </c>
      <c r="J1019" s="111">
        <v>0</v>
      </c>
      <c r="K1019" s="111">
        <v>0</v>
      </c>
      <c r="L1019">
        <v>0</v>
      </c>
    </row>
    <row r="1020" spans="1:12" x14ac:dyDescent="0.2">
      <c r="A1020" s="111" t="s">
        <v>1081</v>
      </c>
      <c r="B1020" s="132">
        <v>42</v>
      </c>
      <c r="C1020" s="111">
        <v>187.96</v>
      </c>
      <c r="D1020" s="111">
        <v>104.32616</v>
      </c>
      <c r="E1020" s="111">
        <v>73</v>
      </c>
      <c r="F1020" s="111">
        <v>11</v>
      </c>
      <c r="G1020" s="133">
        <v>0.45454545454545453</v>
      </c>
      <c r="H1020" s="111">
        <v>21.454545454545453</v>
      </c>
      <c r="I1020" s="111">
        <v>0.18181818181818182</v>
      </c>
      <c r="J1020" s="111">
        <v>0.27272727272727271</v>
      </c>
      <c r="K1020" s="111">
        <v>0.63636363636363635</v>
      </c>
      <c r="L1020">
        <v>1</v>
      </c>
    </row>
    <row r="1021" spans="1:12" x14ac:dyDescent="0.2">
      <c r="A1021" s="111" t="s">
        <v>1082</v>
      </c>
      <c r="B1021" s="132" t="s">
        <v>1596</v>
      </c>
      <c r="F1021" s="111">
        <v>3</v>
      </c>
      <c r="G1021" s="133">
        <v>1</v>
      </c>
      <c r="H1021" s="111">
        <v>33.333333333333336</v>
      </c>
      <c r="I1021" s="111">
        <v>2.3333333333333335</v>
      </c>
      <c r="J1021" s="111">
        <v>0</v>
      </c>
      <c r="K1021" s="111">
        <v>6</v>
      </c>
      <c r="L1021">
        <v>0</v>
      </c>
    </row>
    <row r="1022" spans="1:12" x14ac:dyDescent="0.2">
      <c r="A1022" s="111" t="s">
        <v>1083</v>
      </c>
      <c r="B1022" s="132">
        <v>29</v>
      </c>
      <c r="C1022" s="111">
        <v>190.5</v>
      </c>
      <c r="D1022" s="111">
        <v>92.986360000000005</v>
      </c>
      <c r="E1022" s="111">
        <v>77</v>
      </c>
      <c r="F1022" s="111">
        <v>2</v>
      </c>
      <c r="G1022" s="133">
        <v>1</v>
      </c>
      <c r="H1022" s="111">
        <v>28</v>
      </c>
      <c r="I1022" s="111">
        <v>3</v>
      </c>
      <c r="J1022" s="111">
        <v>0.5</v>
      </c>
      <c r="K1022" s="111">
        <v>5</v>
      </c>
      <c r="L1022">
        <v>0</v>
      </c>
    </row>
    <row r="1023" spans="1:12" x14ac:dyDescent="0.2">
      <c r="A1023" s="111" t="s">
        <v>1084</v>
      </c>
      <c r="B1023" s="132">
        <v>31</v>
      </c>
      <c r="C1023" s="111">
        <v>177.8</v>
      </c>
      <c r="D1023" s="111">
        <v>70.306759999999997</v>
      </c>
      <c r="E1023" s="111">
        <v>73</v>
      </c>
      <c r="F1023" s="111">
        <v>5</v>
      </c>
      <c r="G1023" s="133">
        <v>0.4</v>
      </c>
      <c r="H1023" s="111">
        <v>27.4</v>
      </c>
      <c r="I1023" s="111">
        <v>0.6</v>
      </c>
      <c r="J1023" s="111">
        <v>0.4</v>
      </c>
      <c r="K1023" s="111">
        <v>0.4</v>
      </c>
      <c r="L1023">
        <v>0</v>
      </c>
    </row>
    <row r="1024" spans="1:12" x14ac:dyDescent="0.2">
      <c r="A1024" s="111" t="s">
        <v>1085</v>
      </c>
      <c r="B1024" s="132">
        <v>32</v>
      </c>
      <c r="C1024" s="111">
        <v>165.1</v>
      </c>
      <c r="D1024" s="111">
        <v>61.234920000000002</v>
      </c>
      <c r="E1024" s="111">
        <v>65</v>
      </c>
      <c r="F1024" s="111">
        <v>6</v>
      </c>
      <c r="G1024" s="133">
        <v>0.66666666666666663</v>
      </c>
      <c r="H1024" s="111">
        <v>28.166666666666668</v>
      </c>
      <c r="I1024" s="111">
        <v>0.83333333333333337</v>
      </c>
      <c r="J1024" s="111">
        <v>1.3333333333333333</v>
      </c>
      <c r="K1024" s="111">
        <v>0.5</v>
      </c>
      <c r="L1024">
        <v>1</v>
      </c>
    </row>
    <row r="1025" spans="1:12" x14ac:dyDescent="0.2">
      <c r="A1025" s="111" t="s">
        <v>1086</v>
      </c>
      <c r="B1025" s="132">
        <v>35</v>
      </c>
      <c r="C1025" s="111">
        <v>170.18</v>
      </c>
      <c r="D1025" s="111">
        <v>65.770840000000007</v>
      </c>
      <c r="E1025" s="111">
        <v>67</v>
      </c>
      <c r="F1025" s="111">
        <v>3</v>
      </c>
      <c r="G1025" s="133">
        <v>0</v>
      </c>
      <c r="H1025" s="111">
        <v>56</v>
      </c>
      <c r="I1025" s="111">
        <v>1</v>
      </c>
      <c r="J1025" s="111">
        <v>0</v>
      </c>
      <c r="K1025" s="111">
        <v>0.33333333333333331</v>
      </c>
      <c r="L1025">
        <v>0</v>
      </c>
    </row>
    <row r="1026" spans="1:12" x14ac:dyDescent="0.2">
      <c r="A1026" s="111" t="s">
        <v>1087</v>
      </c>
      <c r="B1026" s="132">
        <v>43</v>
      </c>
      <c r="C1026" s="111">
        <v>187.96</v>
      </c>
      <c r="D1026" s="111">
        <v>111.13003999999999</v>
      </c>
      <c r="E1026" s="111">
        <v>77</v>
      </c>
      <c r="F1026" s="111">
        <v>3</v>
      </c>
      <c r="G1026" s="133">
        <v>0</v>
      </c>
      <c r="H1026" s="111">
        <v>10.333333333333334</v>
      </c>
      <c r="I1026" s="111">
        <v>0</v>
      </c>
      <c r="J1026" s="111">
        <v>0</v>
      </c>
      <c r="K1026" s="111">
        <v>0</v>
      </c>
      <c r="L1026">
        <v>0</v>
      </c>
    </row>
    <row r="1027" spans="1:12" x14ac:dyDescent="0.2">
      <c r="A1027" s="111" t="s">
        <v>1088</v>
      </c>
      <c r="B1027" s="132">
        <v>52</v>
      </c>
      <c r="C1027" s="111">
        <v>193.04</v>
      </c>
      <c r="D1027" s="111">
        <v>104.32616</v>
      </c>
      <c r="E1027" s="111">
        <v>77.862527999999998</v>
      </c>
      <c r="F1027" s="111">
        <v>2</v>
      </c>
      <c r="G1027" s="133">
        <v>0</v>
      </c>
      <c r="H1027" s="111">
        <v>0.5</v>
      </c>
      <c r="I1027" s="111">
        <v>0</v>
      </c>
      <c r="J1027" s="111">
        <v>0</v>
      </c>
      <c r="K1027" s="111">
        <v>0</v>
      </c>
      <c r="L1027">
        <v>0</v>
      </c>
    </row>
    <row r="1028" spans="1:12" x14ac:dyDescent="0.2">
      <c r="A1028" s="111" t="s">
        <v>1089</v>
      </c>
      <c r="B1028" s="132">
        <v>29</v>
      </c>
      <c r="C1028" s="111">
        <v>170.18</v>
      </c>
      <c r="D1028" s="111">
        <v>61.234920000000002</v>
      </c>
      <c r="E1028" s="111">
        <v>66</v>
      </c>
      <c r="F1028" s="111">
        <v>2</v>
      </c>
      <c r="G1028" s="133">
        <v>0</v>
      </c>
      <c r="H1028" s="111">
        <v>13</v>
      </c>
      <c r="I1028" s="111">
        <v>1.5</v>
      </c>
      <c r="J1028" s="111">
        <v>0.5</v>
      </c>
      <c r="K1028" s="111">
        <v>0.5</v>
      </c>
      <c r="L1028">
        <v>1</v>
      </c>
    </row>
    <row r="1029" spans="1:12" x14ac:dyDescent="0.2">
      <c r="A1029" s="111" t="s">
        <v>1090</v>
      </c>
      <c r="B1029" s="132">
        <v>50</v>
      </c>
      <c r="C1029" s="111">
        <v>187.96</v>
      </c>
      <c r="D1029" s="111">
        <v>83.007335999999995</v>
      </c>
      <c r="E1029" s="111">
        <v>75.852372000000003</v>
      </c>
      <c r="F1029" s="111">
        <v>4</v>
      </c>
      <c r="G1029" s="133">
        <v>0.75</v>
      </c>
      <c r="H1029" s="111">
        <v>13</v>
      </c>
      <c r="I1029" s="111">
        <v>2.5</v>
      </c>
      <c r="J1029" s="111">
        <v>0.75</v>
      </c>
      <c r="K1029" s="111">
        <v>2.75</v>
      </c>
      <c r="L1029">
        <v>0</v>
      </c>
    </row>
    <row r="1030" spans="1:12" x14ac:dyDescent="0.2">
      <c r="A1030" s="111" t="s">
        <v>1091</v>
      </c>
      <c r="B1030" s="132">
        <v>28</v>
      </c>
      <c r="C1030" s="111">
        <v>177.8</v>
      </c>
      <c r="D1030" s="111">
        <v>65.770840000000007</v>
      </c>
      <c r="E1030" s="111">
        <v>73</v>
      </c>
      <c r="F1030" s="111">
        <v>8</v>
      </c>
      <c r="G1030" s="133">
        <v>0.75</v>
      </c>
      <c r="H1030" s="111">
        <v>21.375</v>
      </c>
      <c r="I1030" s="111">
        <v>1.625</v>
      </c>
      <c r="J1030" s="111">
        <v>0.25</v>
      </c>
      <c r="K1030" s="111">
        <v>1.25</v>
      </c>
      <c r="L1030">
        <v>0</v>
      </c>
    </row>
    <row r="1031" spans="1:12" x14ac:dyDescent="0.2">
      <c r="A1031" s="111" t="s">
        <v>1092</v>
      </c>
      <c r="B1031" s="132">
        <v>26</v>
      </c>
      <c r="C1031" s="111">
        <v>180.34</v>
      </c>
      <c r="D1031" s="111">
        <v>77.110640000000004</v>
      </c>
      <c r="E1031" s="111">
        <v>73</v>
      </c>
      <c r="F1031" s="111">
        <v>2</v>
      </c>
      <c r="G1031" s="133">
        <v>0.5</v>
      </c>
      <c r="H1031" s="111">
        <v>88.5</v>
      </c>
      <c r="I1031" s="111">
        <v>0</v>
      </c>
      <c r="J1031" s="111">
        <v>0.5</v>
      </c>
      <c r="K1031" s="111">
        <v>0.5</v>
      </c>
      <c r="L1031">
        <v>0</v>
      </c>
    </row>
    <row r="1032" spans="1:12" x14ac:dyDescent="0.2">
      <c r="A1032" s="111" t="s">
        <v>1093</v>
      </c>
      <c r="B1032" s="132">
        <v>33</v>
      </c>
      <c r="C1032" s="111">
        <v>167.64</v>
      </c>
      <c r="D1032" s="111">
        <v>61.234920000000002</v>
      </c>
      <c r="E1032" s="111">
        <v>70</v>
      </c>
      <c r="F1032" s="111">
        <v>8</v>
      </c>
      <c r="G1032" s="133">
        <v>0.25</v>
      </c>
      <c r="H1032" s="111">
        <v>75.875</v>
      </c>
      <c r="I1032" s="111">
        <v>0.125</v>
      </c>
      <c r="J1032" s="111">
        <v>0.125</v>
      </c>
      <c r="K1032" s="111">
        <v>0.125</v>
      </c>
      <c r="L1032">
        <v>0</v>
      </c>
    </row>
    <row r="1033" spans="1:12" x14ac:dyDescent="0.2">
      <c r="A1033" s="111" t="s">
        <v>1094</v>
      </c>
      <c r="B1033" s="132">
        <v>41</v>
      </c>
      <c r="C1033" s="111">
        <v>190.5</v>
      </c>
      <c r="D1033" s="111">
        <v>104.32616</v>
      </c>
      <c r="E1033" s="111">
        <v>76</v>
      </c>
      <c r="F1033" s="111">
        <v>1</v>
      </c>
      <c r="G1033" s="133">
        <v>0</v>
      </c>
      <c r="H1033" s="111">
        <v>56</v>
      </c>
      <c r="I1033" s="111">
        <v>0</v>
      </c>
      <c r="J1033" s="111">
        <v>0</v>
      </c>
      <c r="K1033" s="111">
        <v>1</v>
      </c>
      <c r="L1033">
        <v>0</v>
      </c>
    </row>
    <row r="1034" spans="1:12" x14ac:dyDescent="0.2">
      <c r="A1034" s="111" t="s">
        <v>1095</v>
      </c>
      <c r="B1034" s="132">
        <v>35</v>
      </c>
      <c r="C1034" s="111">
        <v>172.72</v>
      </c>
      <c r="D1034" s="111">
        <v>70.306759999999997</v>
      </c>
      <c r="E1034" s="111">
        <v>66</v>
      </c>
      <c r="F1034" s="111">
        <v>5</v>
      </c>
      <c r="G1034" s="133">
        <v>0</v>
      </c>
      <c r="H1034" s="111">
        <v>11</v>
      </c>
      <c r="I1034" s="111">
        <v>0.6</v>
      </c>
      <c r="J1034" s="111">
        <v>0.6</v>
      </c>
      <c r="K1034" s="111">
        <v>0.8</v>
      </c>
      <c r="L1034">
        <v>1</v>
      </c>
    </row>
    <row r="1035" spans="1:12" x14ac:dyDescent="0.2">
      <c r="A1035" s="111" t="s">
        <v>1096</v>
      </c>
      <c r="B1035" s="132">
        <v>31</v>
      </c>
      <c r="C1035" s="111">
        <v>182.88</v>
      </c>
      <c r="D1035" s="111">
        <v>77.110640000000004</v>
      </c>
      <c r="E1035" s="111">
        <v>76</v>
      </c>
      <c r="F1035" s="111">
        <v>21</v>
      </c>
      <c r="G1035" s="133">
        <v>0.61904761904761907</v>
      </c>
      <c r="H1035" s="111">
        <v>46.047619047619051</v>
      </c>
      <c r="I1035" s="111">
        <v>0.7142857142857143</v>
      </c>
      <c r="J1035" s="111">
        <v>1.0952380952380953</v>
      </c>
      <c r="K1035" s="111">
        <v>0.66666666666666663</v>
      </c>
      <c r="L1035">
        <v>1</v>
      </c>
    </row>
    <row r="1036" spans="1:12" x14ac:dyDescent="0.2">
      <c r="A1036" s="111" t="s">
        <v>1097</v>
      </c>
      <c r="B1036" s="132" t="s">
        <v>1596</v>
      </c>
      <c r="C1036" s="111">
        <v>187.96</v>
      </c>
      <c r="D1036" s="111">
        <v>83.914519999999996</v>
      </c>
      <c r="E1036" s="111">
        <v>75.852372000000003</v>
      </c>
      <c r="F1036" s="111">
        <v>2</v>
      </c>
      <c r="G1036" s="133">
        <v>0.5</v>
      </c>
      <c r="H1036" s="111">
        <v>13</v>
      </c>
      <c r="I1036" s="111">
        <v>0</v>
      </c>
      <c r="J1036" s="111">
        <v>1</v>
      </c>
      <c r="K1036" s="111">
        <v>0</v>
      </c>
      <c r="L1036">
        <v>0</v>
      </c>
    </row>
    <row r="1037" spans="1:12" x14ac:dyDescent="0.2">
      <c r="A1037" s="111" t="s">
        <v>1098</v>
      </c>
      <c r="B1037" s="132">
        <v>37</v>
      </c>
      <c r="C1037" s="111">
        <v>182.88</v>
      </c>
      <c r="D1037" s="111">
        <v>83.914519999999996</v>
      </c>
      <c r="E1037" s="111">
        <v>74</v>
      </c>
      <c r="F1037" s="111">
        <v>20</v>
      </c>
      <c r="G1037" s="133">
        <v>0.6</v>
      </c>
      <c r="H1037" s="111">
        <v>24.15</v>
      </c>
      <c r="I1037" s="111">
        <v>1.45</v>
      </c>
      <c r="J1037" s="111">
        <v>0.7</v>
      </c>
      <c r="K1037" s="111">
        <v>1.1000000000000001</v>
      </c>
      <c r="L1037">
        <v>0</v>
      </c>
    </row>
    <row r="1038" spans="1:12" x14ac:dyDescent="0.2">
      <c r="A1038" s="111" t="s">
        <v>1099</v>
      </c>
      <c r="B1038" s="132">
        <v>33</v>
      </c>
      <c r="C1038" s="111">
        <v>175.26</v>
      </c>
      <c r="D1038" s="111">
        <v>70.306759999999997</v>
      </c>
      <c r="E1038" s="111">
        <v>72</v>
      </c>
      <c r="F1038" s="111">
        <v>4</v>
      </c>
      <c r="G1038" s="133">
        <v>0.25</v>
      </c>
      <c r="H1038" s="111">
        <v>31.5</v>
      </c>
      <c r="I1038" s="111">
        <v>0.25</v>
      </c>
      <c r="J1038" s="111">
        <v>0</v>
      </c>
      <c r="K1038" s="111">
        <v>0.25</v>
      </c>
      <c r="L1038">
        <v>0</v>
      </c>
    </row>
    <row r="1039" spans="1:12" x14ac:dyDescent="0.2">
      <c r="A1039" s="111" t="s">
        <v>1100</v>
      </c>
      <c r="B1039" s="132">
        <v>44</v>
      </c>
      <c r="C1039" s="111">
        <v>182.88</v>
      </c>
      <c r="D1039" s="111">
        <v>83.914519999999996</v>
      </c>
      <c r="E1039" s="111">
        <v>72</v>
      </c>
      <c r="F1039" s="111">
        <v>10</v>
      </c>
      <c r="G1039" s="133">
        <v>0.7</v>
      </c>
      <c r="H1039" s="111">
        <v>29.8</v>
      </c>
      <c r="I1039" s="111">
        <v>0.1</v>
      </c>
      <c r="J1039" s="111">
        <v>0</v>
      </c>
      <c r="K1039" s="111">
        <v>0.2</v>
      </c>
      <c r="L1039">
        <v>0</v>
      </c>
    </row>
    <row r="1040" spans="1:12" x14ac:dyDescent="0.2">
      <c r="A1040" s="111" t="s">
        <v>1101</v>
      </c>
      <c r="B1040" s="132" t="s">
        <v>1596</v>
      </c>
      <c r="C1040" s="111">
        <v>185.42</v>
      </c>
      <c r="D1040" s="111">
        <v>104.32616</v>
      </c>
      <c r="E1040" s="111">
        <v>74.847294000000005</v>
      </c>
      <c r="F1040" s="111">
        <v>24</v>
      </c>
      <c r="G1040" s="133">
        <v>0</v>
      </c>
      <c r="H1040" s="111">
        <v>0</v>
      </c>
      <c r="I1040" s="111">
        <v>0</v>
      </c>
      <c r="J1040" s="111">
        <v>0</v>
      </c>
      <c r="K1040" s="111">
        <v>0</v>
      </c>
      <c r="L1040">
        <v>0</v>
      </c>
    </row>
    <row r="1041" spans="1:12" x14ac:dyDescent="0.2">
      <c r="A1041" s="111" t="s">
        <v>1102</v>
      </c>
      <c r="B1041" s="132">
        <v>38</v>
      </c>
      <c r="C1041" s="111">
        <v>177.8</v>
      </c>
      <c r="D1041" s="111">
        <v>77.110640000000004</v>
      </c>
      <c r="E1041" s="111">
        <v>69</v>
      </c>
      <c r="F1041" s="111">
        <v>2</v>
      </c>
      <c r="G1041" s="133">
        <v>0.5</v>
      </c>
      <c r="H1041" s="111">
        <v>24</v>
      </c>
      <c r="I1041" s="111">
        <v>2</v>
      </c>
      <c r="J1041" s="111">
        <v>0</v>
      </c>
      <c r="K1041" s="111">
        <v>4</v>
      </c>
      <c r="L1041">
        <v>1</v>
      </c>
    </row>
    <row r="1042" spans="1:12" x14ac:dyDescent="0.2">
      <c r="A1042" s="111" t="s">
        <v>1103</v>
      </c>
      <c r="B1042" s="132">
        <v>30</v>
      </c>
      <c r="C1042" s="111">
        <v>172.72</v>
      </c>
      <c r="D1042" s="111">
        <v>70.306759999999997</v>
      </c>
      <c r="E1042" s="111">
        <v>70</v>
      </c>
      <c r="F1042" s="111">
        <v>1</v>
      </c>
      <c r="G1042" s="133">
        <v>0</v>
      </c>
      <c r="H1042" s="111">
        <v>58</v>
      </c>
      <c r="I1042" s="111">
        <v>1</v>
      </c>
      <c r="J1042" s="111">
        <v>0</v>
      </c>
      <c r="K1042" s="111">
        <v>0</v>
      </c>
      <c r="L1042">
        <v>0</v>
      </c>
    </row>
    <row r="1043" spans="1:12" x14ac:dyDescent="0.2">
      <c r="A1043" s="111" t="s">
        <v>1104</v>
      </c>
      <c r="B1043" s="132">
        <v>45</v>
      </c>
      <c r="C1043" s="111">
        <v>198.12</v>
      </c>
      <c r="D1043" s="111">
        <v>120.20188</v>
      </c>
      <c r="E1043" s="111">
        <v>79.872684000000007</v>
      </c>
      <c r="F1043" s="111">
        <v>1</v>
      </c>
      <c r="G1043" s="133">
        <v>0</v>
      </c>
      <c r="H1043" s="111">
        <v>0</v>
      </c>
      <c r="I1043" s="111">
        <v>0</v>
      </c>
      <c r="J1043" s="111">
        <v>1</v>
      </c>
      <c r="K1043" s="111">
        <v>1</v>
      </c>
      <c r="L1043">
        <v>0</v>
      </c>
    </row>
    <row r="1044" spans="1:12" x14ac:dyDescent="0.2">
      <c r="A1044" s="111" t="s">
        <v>1105</v>
      </c>
      <c r="B1044" s="132">
        <v>29</v>
      </c>
      <c r="C1044" s="111">
        <v>190.5</v>
      </c>
      <c r="D1044" s="111">
        <v>77.110640000000004</v>
      </c>
      <c r="E1044" s="111">
        <v>80</v>
      </c>
      <c r="F1044" s="111">
        <v>13</v>
      </c>
      <c r="G1044" s="133">
        <v>0.76923076923076927</v>
      </c>
      <c r="H1044" s="111">
        <v>44.46153846153846</v>
      </c>
      <c r="I1044" s="111">
        <v>2.5384615384615383</v>
      </c>
      <c r="J1044" s="111">
        <v>7.6923076923076927E-2</v>
      </c>
      <c r="K1044" s="111">
        <v>2.5384615384615383</v>
      </c>
      <c r="L1044">
        <v>0</v>
      </c>
    </row>
    <row r="1045" spans="1:12" x14ac:dyDescent="0.2">
      <c r="A1045" s="111" t="s">
        <v>1106</v>
      </c>
      <c r="B1045" s="132">
        <v>37</v>
      </c>
      <c r="C1045" s="111">
        <v>162.56</v>
      </c>
      <c r="D1045" s="111">
        <v>56.698999999999998</v>
      </c>
      <c r="E1045" s="111">
        <v>64</v>
      </c>
      <c r="F1045" s="111">
        <v>5</v>
      </c>
      <c r="G1045" s="133">
        <v>0.6</v>
      </c>
      <c r="H1045" s="111">
        <v>44.4</v>
      </c>
      <c r="I1045" s="111">
        <v>1</v>
      </c>
      <c r="J1045" s="111">
        <v>1.8</v>
      </c>
      <c r="K1045" s="111">
        <v>0.4</v>
      </c>
      <c r="L1045">
        <v>0</v>
      </c>
    </row>
    <row r="1046" spans="1:12" x14ac:dyDescent="0.2">
      <c r="A1046" s="111" t="s">
        <v>1107</v>
      </c>
      <c r="B1046" s="132" t="s">
        <v>1596</v>
      </c>
      <c r="C1046" s="111">
        <v>177.8</v>
      </c>
      <c r="D1046" s="111">
        <v>109.76926400000001</v>
      </c>
      <c r="E1046" s="111">
        <v>71.832059999999998</v>
      </c>
      <c r="F1046" s="111">
        <v>1</v>
      </c>
      <c r="G1046" s="133">
        <v>0</v>
      </c>
      <c r="H1046" s="111">
        <v>4</v>
      </c>
      <c r="I1046" s="111">
        <v>0</v>
      </c>
      <c r="J1046" s="111">
        <v>0</v>
      </c>
      <c r="K1046" s="111">
        <v>0</v>
      </c>
      <c r="L1046">
        <v>0</v>
      </c>
    </row>
    <row r="1047" spans="1:12" x14ac:dyDescent="0.2">
      <c r="A1047" s="111" t="s">
        <v>1108</v>
      </c>
      <c r="B1047" s="132">
        <v>30</v>
      </c>
      <c r="C1047" s="111">
        <v>182.88</v>
      </c>
      <c r="D1047" s="111">
        <v>77.110640000000004</v>
      </c>
      <c r="E1047" s="111">
        <v>75</v>
      </c>
      <c r="F1047" s="111">
        <v>5</v>
      </c>
      <c r="G1047" s="133">
        <v>0.6</v>
      </c>
      <c r="H1047" s="111">
        <v>45.6</v>
      </c>
      <c r="I1047" s="111">
        <v>1</v>
      </c>
      <c r="J1047" s="111">
        <v>0.2</v>
      </c>
      <c r="K1047" s="111">
        <v>0.6</v>
      </c>
      <c r="L1047">
        <v>0</v>
      </c>
    </row>
    <row r="1048" spans="1:12" x14ac:dyDescent="0.2">
      <c r="A1048" s="111" t="s">
        <v>1109</v>
      </c>
      <c r="B1048" s="132">
        <v>37</v>
      </c>
      <c r="C1048" s="111">
        <v>172.72</v>
      </c>
      <c r="D1048" s="111">
        <v>70.306759999999997</v>
      </c>
      <c r="E1048" s="111">
        <v>69.821904000000004</v>
      </c>
      <c r="F1048" s="111">
        <v>1</v>
      </c>
      <c r="G1048" s="133">
        <v>0</v>
      </c>
      <c r="H1048" s="111">
        <v>5</v>
      </c>
      <c r="I1048" s="111">
        <v>0</v>
      </c>
      <c r="J1048" s="111">
        <v>0</v>
      </c>
      <c r="K1048" s="111">
        <v>0</v>
      </c>
      <c r="L1048">
        <v>0</v>
      </c>
    </row>
    <row r="1049" spans="1:12" x14ac:dyDescent="0.2">
      <c r="A1049" s="111" t="s">
        <v>1110</v>
      </c>
      <c r="B1049" s="132">
        <v>35</v>
      </c>
      <c r="C1049" s="111">
        <v>182.88</v>
      </c>
      <c r="D1049" s="111">
        <v>83.914519999999996</v>
      </c>
      <c r="E1049" s="111">
        <v>72</v>
      </c>
      <c r="F1049" s="111">
        <v>8</v>
      </c>
      <c r="G1049" s="133">
        <v>0.5</v>
      </c>
      <c r="H1049" s="111">
        <v>24.5</v>
      </c>
      <c r="I1049" s="111">
        <v>2.875</v>
      </c>
      <c r="J1049" s="111">
        <v>0.375</v>
      </c>
      <c r="K1049" s="111">
        <v>2.375</v>
      </c>
      <c r="L1049">
        <v>1</v>
      </c>
    </row>
    <row r="1050" spans="1:12" x14ac:dyDescent="0.2">
      <c r="A1050" s="111" t="s">
        <v>1111</v>
      </c>
      <c r="B1050" s="132">
        <v>33</v>
      </c>
      <c r="C1050" s="111">
        <v>170.18</v>
      </c>
      <c r="D1050" s="111">
        <v>61.234920000000002</v>
      </c>
      <c r="E1050" s="111">
        <v>68.816826000000006</v>
      </c>
      <c r="F1050" s="111">
        <v>2</v>
      </c>
      <c r="G1050" s="133">
        <v>0.5</v>
      </c>
      <c r="H1050" s="111">
        <v>17.5</v>
      </c>
      <c r="I1050" s="111">
        <v>0.5</v>
      </c>
      <c r="J1050" s="111">
        <v>0</v>
      </c>
      <c r="K1050" s="111">
        <v>0</v>
      </c>
      <c r="L1050">
        <v>0</v>
      </c>
    </row>
    <row r="1051" spans="1:12" x14ac:dyDescent="0.2">
      <c r="A1051" s="111" t="s">
        <v>1112</v>
      </c>
      <c r="B1051" s="132">
        <v>33</v>
      </c>
      <c r="C1051" s="111">
        <v>185.42</v>
      </c>
      <c r="D1051" s="111">
        <v>83.914519999999996</v>
      </c>
      <c r="E1051" s="111">
        <v>76</v>
      </c>
      <c r="F1051" s="111">
        <v>14</v>
      </c>
      <c r="G1051" s="133">
        <v>0.5</v>
      </c>
      <c r="H1051" s="111">
        <v>51.571428571428569</v>
      </c>
      <c r="I1051" s="111">
        <v>1</v>
      </c>
      <c r="J1051" s="111">
        <v>0.9285714285714286</v>
      </c>
      <c r="K1051" s="111">
        <v>0.6428571428571429</v>
      </c>
      <c r="L1051">
        <v>1</v>
      </c>
    </row>
    <row r="1052" spans="1:12" x14ac:dyDescent="0.2">
      <c r="A1052" s="111" t="s">
        <v>1113</v>
      </c>
      <c r="B1052" s="132">
        <v>32</v>
      </c>
      <c r="C1052" s="111">
        <v>167.64</v>
      </c>
      <c r="D1052" s="111">
        <v>70.306759999999997</v>
      </c>
      <c r="E1052" s="111">
        <v>66</v>
      </c>
      <c r="F1052" s="111">
        <v>4</v>
      </c>
      <c r="G1052" s="133">
        <v>0.75</v>
      </c>
      <c r="H1052" s="111">
        <v>43.75</v>
      </c>
      <c r="I1052" s="111">
        <v>0.75</v>
      </c>
      <c r="J1052" s="111">
        <v>0</v>
      </c>
      <c r="K1052" s="111">
        <v>1</v>
      </c>
      <c r="L1052">
        <v>1</v>
      </c>
    </row>
    <row r="1053" spans="1:12" x14ac:dyDescent="0.2">
      <c r="A1053" s="111" t="s">
        <v>1114</v>
      </c>
      <c r="B1053" s="132">
        <v>32</v>
      </c>
      <c r="C1053" s="111">
        <v>187.96</v>
      </c>
      <c r="D1053" s="111">
        <v>77.110640000000004</v>
      </c>
      <c r="E1053" s="111">
        <v>76</v>
      </c>
      <c r="F1053" s="111">
        <v>5</v>
      </c>
      <c r="G1053" s="133">
        <v>0.4</v>
      </c>
      <c r="H1053" s="111">
        <v>35.4</v>
      </c>
      <c r="I1053" s="111">
        <v>1</v>
      </c>
      <c r="J1053" s="111">
        <v>0.8</v>
      </c>
      <c r="K1053" s="111">
        <v>1.2</v>
      </c>
      <c r="L1053">
        <v>0</v>
      </c>
    </row>
    <row r="1054" spans="1:12" x14ac:dyDescent="0.2">
      <c r="A1054" s="111" t="s">
        <v>1115</v>
      </c>
      <c r="B1054" s="132">
        <v>29</v>
      </c>
      <c r="C1054" s="111">
        <v>170.18</v>
      </c>
      <c r="D1054" s="111">
        <v>61.234920000000002</v>
      </c>
      <c r="E1054" s="111">
        <v>68</v>
      </c>
      <c r="F1054" s="111">
        <v>3</v>
      </c>
      <c r="G1054" s="133">
        <v>0.33333333333333331</v>
      </c>
      <c r="H1054" s="111">
        <v>26.666666666666668</v>
      </c>
      <c r="I1054" s="111">
        <v>3.3333333333333335</v>
      </c>
      <c r="J1054" s="111">
        <v>0.66666666666666663</v>
      </c>
      <c r="K1054" s="111">
        <v>2.3333333333333335</v>
      </c>
      <c r="L1054">
        <v>0</v>
      </c>
    </row>
    <row r="1055" spans="1:12" x14ac:dyDescent="0.2">
      <c r="A1055" s="111" t="s">
        <v>1116</v>
      </c>
      <c r="B1055" s="132">
        <v>36</v>
      </c>
      <c r="C1055" s="111">
        <v>193.04</v>
      </c>
      <c r="D1055" s="111">
        <v>92.986360000000005</v>
      </c>
      <c r="E1055" s="111">
        <v>77</v>
      </c>
      <c r="F1055" s="111">
        <v>2</v>
      </c>
      <c r="G1055" s="133">
        <v>0</v>
      </c>
      <c r="H1055" s="111">
        <v>6</v>
      </c>
      <c r="I1055" s="111">
        <v>0</v>
      </c>
      <c r="J1055" s="111">
        <v>0</v>
      </c>
      <c r="K1055" s="111">
        <v>1</v>
      </c>
      <c r="L1055">
        <v>1</v>
      </c>
    </row>
    <row r="1056" spans="1:12" x14ac:dyDescent="0.2">
      <c r="A1056" s="111" t="s">
        <v>1117</v>
      </c>
      <c r="B1056" s="132">
        <v>37</v>
      </c>
      <c r="C1056" s="111">
        <v>182.88</v>
      </c>
      <c r="D1056" s="111">
        <v>83.914519999999996</v>
      </c>
      <c r="E1056" s="111">
        <v>74</v>
      </c>
      <c r="F1056" s="111">
        <v>6</v>
      </c>
      <c r="G1056" s="133">
        <v>0.5</v>
      </c>
      <c r="H1056" s="111">
        <v>52</v>
      </c>
      <c r="I1056" s="111">
        <v>1.3333333333333333</v>
      </c>
      <c r="J1056" s="111">
        <v>0.33333333333333331</v>
      </c>
      <c r="K1056" s="111">
        <v>2</v>
      </c>
      <c r="L1056">
        <v>1</v>
      </c>
    </row>
    <row r="1057" spans="1:12" x14ac:dyDescent="0.2">
      <c r="A1057" s="111" t="s">
        <v>1118</v>
      </c>
      <c r="B1057" s="132" t="s">
        <v>1596</v>
      </c>
      <c r="C1057" s="111">
        <v>175.26</v>
      </c>
      <c r="D1057" s="111">
        <v>86.182479999999998</v>
      </c>
      <c r="E1057" s="111">
        <v>70.826982000000001</v>
      </c>
      <c r="F1057" s="111">
        <v>1</v>
      </c>
      <c r="G1057" s="133">
        <v>0</v>
      </c>
      <c r="H1057" s="111">
        <v>0</v>
      </c>
      <c r="I1057" s="111">
        <v>0</v>
      </c>
      <c r="J1057" s="111">
        <v>0</v>
      </c>
      <c r="K1057" s="111">
        <v>0</v>
      </c>
      <c r="L1057">
        <v>0</v>
      </c>
    </row>
    <row r="1058" spans="1:12" x14ac:dyDescent="0.2">
      <c r="A1058" s="111" t="s">
        <v>1119</v>
      </c>
      <c r="B1058" s="132" t="s">
        <v>1596</v>
      </c>
      <c r="C1058" s="111">
        <v>175.26</v>
      </c>
      <c r="D1058" s="111">
        <v>77.110640000000004</v>
      </c>
      <c r="E1058" s="111">
        <v>70.826982000000001</v>
      </c>
      <c r="F1058" s="111">
        <v>1</v>
      </c>
      <c r="G1058" s="133">
        <v>0</v>
      </c>
      <c r="H1058" s="111">
        <v>0</v>
      </c>
      <c r="I1058" s="111">
        <v>1</v>
      </c>
      <c r="J1058" s="111">
        <v>2</v>
      </c>
      <c r="K1058" s="111">
        <v>1</v>
      </c>
      <c r="L1058">
        <v>0</v>
      </c>
    </row>
    <row r="1059" spans="1:12" x14ac:dyDescent="0.2">
      <c r="A1059" s="111" t="s">
        <v>1120</v>
      </c>
      <c r="B1059" s="132">
        <v>35</v>
      </c>
      <c r="C1059" s="111">
        <v>185.42</v>
      </c>
      <c r="D1059" s="111">
        <v>77.110640000000004</v>
      </c>
      <c r="E1059" s="111">
        <v>74</v>
      </c>
      <c r="F1059" s="111">
        <v>2</v>
      </c>
      <c r="G1059" s="133">
        <v>0.5</v>
      </c>
      <c r="H1059" s="111">
        <v>25</v>
      </c>
      <c r="I1059" s="111">
        <v>1</v>
      </c>
      <c r="J1059" s="111">
        <v>1.5</v>
      </c>
      <c r="K1059" s="111">
        <v>3.5</v>
      </c>
      <c r="L1059">
        <v>0</v>
      </c>
    </row>
    <row r="1060" spans="1:12" x14ac:dyDescent="0.2">
      <c r="A1060" s="111" t="s">
        <v>1121</v>
      </c>
      <c r="B1060" s="132">
        <v>32</v>
      </c>
      <c r="C1060" s="111">
        <v>180.34</v>
      </c>
      <c r="D1060" s="111">
        <v>77.110640000000004</v>
      </c>
      <c r="E1060" s="111">
        <v>74</v>
      </c>
      <c r="F1060" s="111">
        <v>2</v>
      </c>
      <c r="G1060" s="133">
        <v>0.5</v>
      </c>
      <c r="H1060" s="111">
        <v>39.5</v>
      </c>
      <c r="I1060" s="111">
        <v>4</v>
      </c>
      <c r="J1060" s="111">
        <v>1</v>
      </c>
      <c r="K1060" s="111">
        <v>0.5</v>
      </c>
      <c r="L1060">
        <v>0</v>
      </c>
    </row>
    <row r="1061" spans="1:12" x14ac:dyDescent="0.2">
      <c r="A1061" s="111" t="s">
        <v>1122</v>
      </c>
      <c r="B1061" s="132">
        <v>32</v>
      </c>
      <c r="C1061" s="111">
        <v>172.72</v>
      </c>
      <c r="D1061" s="111">
        <v>70.306759999999997</v>
      </c>
      <c r="E1061" s="111">
        <v>68</v>
      </c>
      <c r="F1061" s="111">
        <v>16</v>
      </c>
      <c r="G1061" s="133">
        <v>0.625</v>
      </c>
      <c r="H1061" s="111">
        <v>42.1875</v>
      </c>
      <c r="I1061" s="111">
        <v>3.125</v>
      </c>
      <c r="J1061" s="111">
        <v>1.25</v>
      </c>
      <c r="K1061" s="111">
        <v>2.625</v>
      </c>
      <c r="L1061">
        <v>0</v>
      </c>
    </row>
    <row r="1062" spans="1:12" x14ac:dyDescent="0.2">
      <c r="A1062" s="111" t="s">
        <v>1123</v>
      </c>
      <c r="B1062" s="132">
        <v>24</v>
      </c>
      <c r="C1062" s="111">
        <v>190.5</v>
      </c>
      <c r="D1062" s="111">
        <v>92.986360000000005</v>
      </c>
      <c r="E1062" s="111">
        <v>77</v>
      </c>
      <c r="F1062" s="111">
        <v>6</v>
      </c>
      <c r="G1062" s="133">
        <v>0.66666666666666663</v>
      </c>
      <c r="H1062" s="111">
        <v>22.166666666666668</v>
      </c>
      <c r="I1062" s="111">
        <v>0</v>
      </c>
      <c r="J1062" s="111">
        <v>0.66666666666666663</v>
      </c>
      <c r="K1062" s="111">
        <v>0.66666666666666663</v>
      </c>
      <c r="L1062">
        <v>0</v>
      </c>
    </row>
    <row r="1063" spans="1:12" x14ac:dyDescent="0.2">
      <c r="A1063" s="111" t="s">
        <v>1124</v>
      </c>
      <c r="B1063" s="132">
        <v>27</v>
      </c>
      <c r="C1063" s="111">
        <v>185.42</v>
      </c>
      <c r="D1063" s="111">
        <v>65.770840000000007</v>
      </c>
      <c r="E1063" s="111">
        <v>74</v>
      </c>
      <c r="F1063" s="111">
        <v>3</v>
      </c>
      <c r="G1063" s="133">
        <v>0.33333333333333331</v>
      </c>
      <c r="H1063" s="111">
        <v>7.666666666666667</v>
      </c>
      <c r="I1063" s="111">
        <v>1.3333333333333333</v>
      </c>
      <c r="J1063" s="111">
        <v>1</v>
      </c>
      <c r="K1063" s="111">
        <v>1.3333333333333333</v>
      </c>
      <c r="L1063">
        <v>0</v>
      </c>
    </row>
    <row r="1064" spans="1:12" x14ac:dyDescent="0.2">
      <c r="A1064" s="111" t="s">
        <v>1125</v>
      </c>
      <c r="B1064" s="132">
        <v>31</v>
      </c>
      <c r="C1064" s="111">
        <v>165.1</v>
      </c>
      <c r="D1064" s="111">
        <v>52.163080000000001</v>
      </c>
      <c r="E1064" s="111">
        <v>64</v>
      </c>
      <c r="F1064" s="111">
        <v>2</v>
      </c>
      <c r="G1064" s="133">
        <v>0</v>
      </c>
      <c r="H1064" s="111">
        <v>57.5</v>
      </c>
      <c r="I1064" s="111">
        <v>0.5</v>
      </c>
      <c r="J1064" s="111">
        <v>1</v>
      </c>
      <c r="K1064" s="111">
        <v>1</v>
      </c>
      <c r="L1064">
        <v>0</v>
      </c>
    </row>
    <row r="1065" spans="1:12" x14ac:dyDescent="0.2">
      <c r="A1065" s="111" t="s">
        <v>1126</v>
      </c>
      <c r="B1065" s="132">
        <v>35</v>
      </c>
      <c r="C1065" s="111">
        <v>187.96</v>
      </c>
      <c r="D1065" s="111">
        <v>83.914519999999996</v>
      </c>
      <c r="E1065" s="111">
        <v>75.852372000000003</v>
      </c>
      <c r="F1065" s="111">
        <v>1</v>
      </c>
      <c r="G1065" s="133">
        <v>0</v>
      </c>
      <c r="H1065" s="111">
        <v>35</v>
      </c>
      <c r="I1065" s="111">
        <v>1</v>
      </c>
      <c r="J1065" s="111">
        <v>1</v>
      </c>
      <c r="K1065" s="111">
        <v>2</v>
      </c>
      <c r="L1065">
        <v>0</v>
      </c>
    </row>
    <row r="1066" spans="1:12" x14ac:dyDescent="0.2">
      <c r="A1066" s="111" t="s">
        <v>1127</v>
      </c>
      <c r="B1066" s="132" t="s">
        <v>1596</v>
      </c>
      <c r="F1066" s="111">
        <v>4</v>
      </c>
      <c r="G1066" s="133">
        <v>0.5</v>
      </c>
      <c r="H1066" s="111">
        <v>26.5</v>
      </c>
      <c r="I1066" s="111">
        <v>1.5</v>
      </c>
      <c r="J1066" s="111">
        <v>1.5</v>
      </c>
      <c r="K1066" s="111">
        <v>3</v>
      </c>
      <c r="L1066">
        <v>0</v>
      </c>
    </row>
    <row r="1067" spans="1:12" x14ac:dyDescent="0.2">
      <c r="A1067" s="111" t="s">
        <v>1128</v>
      </c>
      <c r="B1067" s="132" t="s">
        <v>1596</v>
      </c>
      <c r="F1067" s="111">
        <v>1</v>
      </c>
      <c r="G1067" s="133">
        <v>0</v>
      </c>
      <c r="H1067" s="111">
        <v>9</v>
      </c>
      <c r="I1067" s="111">
        <v>1</v>
      </c>
      <c r="J1067" s="111">
        <v>0</v>
      </c>
      <c r="K1067" s="111">
        <v>0</v>
      </c>
      <c r="L1067">
        <v>0</v>
      </c>
    </row>
    <row r="1068" spans="1:12" x14ac:dyDescent="0.2">
      <c r="A1068" s="111" t="s">
        <v>1129</v>
      </c>
      <c r="B1068" s="132">
        <v>28</v>
      </c>
      <c r="C1068" s="111">
        <v>167.64</v>
      </c>
      <c r="D1068" s="111">
        <v>56.698999999999998</v>
      </c>
      <c r="E1068" s="111">
        <v>69</v>
      </c>
      <c r="F1068" s="111">
        <v>2</v>
      </c>
      <c r="G1068" s="133">
        <v>0</v>
      </c>
      <c r="H1068" s="111">
        <v>38.5</v>
      </c>
      <c r="I1068" s="111">
        <v>0</v>
      </c>
      <c r="J1068" s="111">
        <v>0</v>
      </c>
      <c r="K1068" s="111">
        <v>0</v>
      </c>
      <c r="L1068">
        <v>0</v>
      </c>
    </row>
    <row r="1069" spans="1:12" x14ac:dyDescent="0.2">
      <c r="A1069" s="111" t="s">
        <v>1130</v>
      </c>
      <c r="B1069" s="132">
        <v>35</v>
      </c>
      <c r="C1069" s="111">
        <v>185.42</v>
      </c>
      <c r="D1069" s="111">
        <v>77.110640000000004</v>
      </c>
      <c r="E1069" s="111">
        <v>74</v>
      </c>
      <c r="F1069" s="111">
        <v>4</v>
      </c>
      <c r="G1069" s="133">
        <v>0.75</v>
      </c>
      <c r="H1069" s="111">
        <v>41.75</v>
      </c>
      <c r="I1069" s="111">
        <v>3</v>
      </c>
      <c r="J1069" s="111">
        <v>0</v>
      </c>
      <c r="K1069" s="111">
        <v>2</v>
      </c>
      <c r="L1069">
        <v>0</v>
      </c>
    </row>
    <row r="1070" spans="1:12" x14ac:dyDescent="0.2">
      <c r="A1070" s="111" t="s">
        <v>1131</v>
      </c>
      <c r="B1070" s="132">
        <v>39</v>
      </c>
      <c r="C1070" s="111">
        <v>162.56</v>
      </c>
      <c r="D1070" s="111">
        <v>61.234920000000002</v>
      </c>
      <c r="E1070" s="111">
        <v>66</v>
      </c>
      <c r="F1070" s="111">
        <v>4</v>
      </c>
      <c r="G1070" s="133">
        <v>0</v>
      </c>
      <c r="H1070" s="111">
        <v>17.75</v>
      </c>
      <c r="I1070" s="111">
        <v>0.5</v>
      </c>
      <c r="J1070" s="111">
        <v>0</v>
      </c>
      <c r="K1070" s="111">
        <v>0</v>
      </c>
      <c r="L1070">
        <v>1</v>
      </c>
    </row>
    <row r="1071" spans="1:12" x14ac:dyDescent="0.2">
      <c r="A1071" s="111" t="s">
        <v>1132</v>
      </c>
      <c r="B1071" s="132">
        <v>30</v>
      </c>
      <c r="C1071" s="111">
        <v>180.34</v>
      </c>
      <c r="D1071" s="111">
        <v>70.306759999999997</v>
      </c>
      <c r="E1071" s="111">
        <v>70</v>
      </c>
      <c r="F1071" s="111">
        <v>8</v>
      </c>
      <c r="G1071" s="133">
        <v>0.625</v>
      </c>
      <c r="H1071" s="111">
        <v>47.125</v>
      </c>
      <c r="I1071" s="111">
        <v>2</v>
      </c>
      <c r="J1071" s="111">
        <v>0</v>
      </c>
      <c r="K1071" s="111">
        <v>1.875</v>
      </c>
      <c r="L1071">
        <v>0</v>
      </c>
    </row>
    <row r="1072" spans="1:12" x14ac:dyDescent="0.2">
      <c r="A1072" s="111" t="s">
        <v>1133</v>
      </c>
      <c r="B1072" s="132">
        <v>49</v>
      </c>
      <c r="C1072" s="111">
        <v>182.88</v>
      </c>
      <c r="D1072" s="111">
        <v>95.254320000000007</v>
      </c>
      <c r="E1072" s="111">
        <v>73.842215999999993</v>
      </c>
      <c r="F1072" s="111">
        <v>6</v>
      </c>
      <c r="G1072" s="133">
        <v>0.66666666666666663</v>
      </c>
      <c r="H1072" s="111">
        <v>1.3333333333333333</v>
      </c>
      <c r="I1072" s="111">
        <v>0</v>
      </c>
      <c r="J1072" s="111">
        <v>1.1666666666666667</v>
      </c>
      <c r="K1072" s="111">
        <v>0.5</v>
      </c>
      <c r="L1072">
        <v>0</v>
      </c>
    </row>
    <row r="1073" spans="1:12" x14ac:dyDescent="0.2">
      <c r="A1073" s="111" t="s">
        <v>1134</v>
      </c>
      <c r="B1073" s="132">
        <v>36</v>
      </c>
      <c r="C1073" s="111">
        <v>185.42</v>
      </c>
      <c r="D1073" s="111">
        <v>109.76926400000001</v>
      </c>
      <c r="E1073" s="111">
        <v>75</v>
      </c>
      <c r="F1073" s="111">
        <v>2</v>
      </c>
      <c r="G1073" s="133">
        <v>0</v>
      </c>
      <c r="H1073" s="111">
        <v>23.5</v>
      </c>
      <c r="I1073" s="111">
        <v>0</v>
      </c>
      <c r="J1073" s="111">
        <v>0.5</v>
      </c>
      <c r="K1073" s="111">
        <v>0</v>
      </c>
      <c r="L1073">
        <v>0</v>
      </c>
    </row>
    <row r="1074" spans="1:12" x14ac:dyDescent="0.2">
      <c r="A1074" s="111" t="s">
        <v>1135</v>
      </c>
      <c r="B1074" s="132">
        <v>27</v>
      </c>
      <c r="C1074" s="111">
        <v>175.26</v>
      </c>
      <c r="D1074" s="111">
        <v>70.306759999999997</v>
      </c>
      <c r="E1074" s="111">
        <v>70</v>
      </c>
      <c r="F1074" s="111">
        <v>5</v>
      </c>
      <c r="G1074" s="133">
        <v>0.6</v>
      </c>
      <c r="H1074" s="111">
        <v>35.4</v>
      </c>
      <c r="I1074" s="111">
        <v>2.8</v>
      </c>
      <c r="J1074" s="111">
        <v>0.4</v>
      </c>
      <c r="K1074" s="111">
        <v>2</v>
      </c>
      <c r="L1074">
        <v>1</v>
      </c>
    </row>
    <row r="1075" spans="1:12" x14ac:dyDescent="0.2">
      <c r="A1075" s="111" t="s">
        <v>1136</v>
      </c>
      <c r="B1075" s="132">
        <v>29</v>
      </c>
      <c r="C1075" s="111">
        <v>180.34</v>
      </c>
      <c r="D1075" s="111">
        <v>83.914519999999996</v>
      </c>
      <c r="E1075" s="111">
        <v>78</v>
      </c>
      <c r="F1075" s="111">
        <v>2</v>
      </c>
      <c r="G1075" s="133">
        <v>0.5</v>
      </c>
      <c r="H1075" s="111">
        <v>7.5</v>
      </c>
      <c r="I1075" s="111">
        <v>0</v>
      </c>
      <c r="J1075" s="111">
        <v>0</v>
      </c>
      <c r="K1075" s="111">
        <v>0</v>
      </c>
      <c r="L1075">
        <v>0</v>
      </c>
    </row>
    <row r="1076" spans="1:12" x14ac:dyDescent="0.2">
      <c r="A1076" s="111" t="s">
        <v>1137</v>
      </c>
      <c r="B1076" s="132">
        <v>29</v>
      </c>
      <c r="C1076" s="111">
        <v>182.88</v>
      </c>
      <c r="D1076" s="111">
        <v>77.110640000000004</v>
      </c>
      <c r="E1076" s="111">
        <v>73</v>
      </c>
      <c r="F1076" s="111">
        <v>5</v>
      </c>
      <c r="G1076" s="133">
        <v>0.6</v>
      </c>
      <c r="H1076" s="111">
        <v>26.8</v>
      </c>
      <c r="I1076" s="111">
        <v>1.4</v>
      </c>
      <c r="J1076" s="111">
        <v>0.2</v>
      </c>
      <c r="K1076" s="111">
        <v>0.2</v>
      </c>
      <c r="L1076">
        <v>0</v>
      </c>
    </row>
    <row r="1077" spans="1:12" x14ac:dyDescent="0.2">
      <c r="A1077" s="111" t="s">
        <v>1138</v>
      </c>
      <c r="B1077" s="132">
        <v>51</v>
      </c>
      <c r="C1077" s="111">
        <v>177.8</v>
      </c>
      <c r="D1077" s="111">
        <v>77.110640000000004</v>
      </c>
      <c r="E1077" s="111">
        <v>71.832059999999998</v>
      </c>
      <c r="F1077" s="111">
        <v>2</v>
      </c>
      <c r="G1077" s="133">
        <v>0.5</v>
      </c>
      <c r="H1077" s="111">
        <v>4.5</v>
      </c>
      <c r="I1077" s="111">
        <v>0</v>
      </c>
      <c r="J1077" s="111">
        <v>0</v>
      </c>
      <c r="K1077" s="111">
        <v>0</v>
      </c>
      <c r="L1077">
        <v>1</v>
      </c>
    </row>
    <row r="1078" spans="1:12" x14ac:dyDescent="0.2">
      <c r="A1078" s="111" t="s">
        <v>1139</v>
      </c>
      <c r="B1078" s="132">
        <v>33</v>
      </c>
      <c r="C1078" s="111">
        <v>190.5</v>
      </c>
      <c r="D1078" s="111">
        <v>92.986360000000005</v>
      </c>
      <c r="E1078" s="111">
        <v>80</v>
      </c>
      <c r="F1078" s="111">
        <v>9</v>
      </c>
      <c r="G1078" s="133">
        <v>0.77777777777777779</v>
      </c>
      <c r="H1078" s="111">
        <v>22.222222222222221</v>
      </c>
      <c r="I1078" s="111">
        <v>0.66666666666666663</v>
      </c>
      <c r="J1078" s="111">
        <v>0.22222222222222221</v>
      </c>
      <c r="K1078" s="111">
        <v>0.88888888888888884</v>
      </c>
      <c r="L1078">
        <v>1</v>
      </c>
    </row>
    <row r="1079" spans="1:12" x14ac:dyDescent="0.2">
      <c r="A1079" s="111" t="s">
        <v>1140</v>
      </c>
      <c r="B1079" s="132">
        <v>33</v>
      </c>
      <c r="C1079" s="111">
        <v>185.42</v>
      </c>
      <c r="D1079" s="111">
        <v>65.770840000000007</v>
      </c>
      <c r="E1079" s="111">
        <v>73</v>
      </c>
      <c r="F1079" s="111">
        <v>6</v>
      </c>
      <c r="G1079" s="133">
        <v>0.5</v>
      </c>
      <c r="H1079" s="111">
        <v>26.166666666666668</v>
      </c>
      <c r="I1079" s="111">
        <v>0.5</v>
      </c>
      <c r="J1079" s="111">
        <v>0.5</v>
      </c>
      <c r="K1079" s="111">
        <v>0.16666666666666666</v>
      </c>
      <c r="L1079">
        <v>0</v>
      </c>
    </row>
    <row r="1080" spans="1:12" x14ac:dyDescent="0.2">
      <c r="A1080" s="111" t="s">
        <v>1141</v>
      </c>
      <c r="B1080" s="132">
        <v>22</v>
      </c>
      <c r="C1080" s="111">
        <v>162.56</v>
      </c>
      <c r="D1080" s="111">
        <v>52.163080000000001</v>
      </c>
      <c r="E1080" s="111">
        <v>65</v>
      </c>
      <c r="F1080" s="111">
        <v>4</v>
      </c>
      <c r="G1080" s="133">
        <v>0.75</v>
      </c>
      <c r="H1080" s="111">
        <v>52.75</v>
      </c>
      <c r="I1080" s="111">
        <v>2</v>
      </c>
      <c r="J1080" s="111">
        <v>1</v>
      </c>
      <c r="K1080" s="111">
        <v>2.25</v>
      </c>
      <c r="L1080">
        <v>0</v>
      </c>
    </row>
    <row r="1081" spans="1:12" x14ac:dyDescent="0.2">
      <c r="A1081" s="111" t="s">
        <v>1142</v>
      </c>
      <c r="B1081" s="132">
        <v>38</v>
      </c>
      <c r="C1081" s="111">
        <v>180.34</v>
      </c>
      <c r="D1081" s="111">
        <v>83.914519999999996</v>
      </c>
      <c r="E1081" s="111">
        <v>74</v>
      </c>
      <c r="F1081" s="111">
        <v>4</v>
      </c>
      <c r="G1081" s="133">
        <v>0.25</v>
      </c>
      <c r="H1081" s="111">
        <v>24.25</v>
      </c>
      <c r="I1081" s="111">
        <v>2</v>
      </c>
      <c r="J1081" s="111">
        <v>0.75</v>
      </c>
      <c r="K1081" s="111">
        <v>1.75</v>
      </c>
      <c r="L1081">
        <v>1</v>
      </c>
    </row>
    <row r="1082" spans="1:12" x14ac:dyDescent="0.2">
      <c r="A1082" s="111" t="s">
        <v>1143</v>
      </c>
      <c r="B1082" s="132">
        <v>29</v>
      </c>
      <c r="C1082" s="111">
        <v>185.42</v>
      </c>
      <c r="D1082" s="111">
        <v>77.110640000000004</v>
      </c>
      <c r="E1082" s="111">
        <v>72</v>
      </c>
      <c r="F1082" s="111">
        <v>4</v>
      </c>
      <c r="G1082" s="133">
        <v>0.5</v>
      </c>
      <c r="H1082" s="111">
        <v>66.75</v>
      </c>
      <c r="I1082" s="111">
        <v>1.25</v>
      </c>
      <c r="J1082" s="111">
        <v>0.75</v>
      </c>
      <c r="K1082" s="111">
        <v>1.75</v>
      </c>
      <c r="L1082">
        <v>0</v>
      </c>
    </row>
    <row r="1083" spans="1:12" x14ac:dyDescent="0.2">
      <c r="A1083" s="111" t="s">
        <v>1144</v>
      </c>
      <c r="B1083" s="132">
        <v>30</v>
      </c>
      <c r="C1083" s="111">
        <v>182.88</v>
      </c>
      <c r="D1083" s="111">
        <v>70.306759999999997</v>
      </c>
      <c r="E1083" s="111">
        <v>73.842215999999993</v>
      </c>
      <c r="F1083" s="111">
        <v>2</v>
      </c>
      <c r="G1083" s="133">
        <v>0</v>
      </c>
      <c r="H1083" s="111">
        <v>11</v>
      </c>
      <c r="I1083" s="111">
        <v>0.5</v>
      </c>
      <c r="J1083" s="111">
        <v>0</v>
      </c>
      <c r="K1083" s="111">
        <v>0</v>
      </c>
      <c r="L1083">
        <v>0</v>
      </c>
    </row>
    <row r="1084" spans="1:12" x14ac:dyDescent="0.2">
      <c r="A1084" s="111" t="s">
        <v>1145</v>
      </c>
      <c r="B1084" s="132">
        <v>37</v>
      </c>
      <c r="C1084" s="111">
        <v>180.34</v>
      </c>
      <c r="D1084" s="111">
        <v>106.59412</v>
      </c>
      <c r="E1084" s="111">
        <v>74</v>
      </c>
      <c r="F1084" s="111">
        <v>12</v>
      </c>
      <c r="G1084" s="133">
        <v>0.41666666666666669</v>
      </c>
      <c r="H1084" s="111">
        <v>15.666666666666666</v>
      </c>
      <c r="I1084" s="111">
        <v>0</v>
      </c>
      <c r="J1084" s="111">
        <v>8.3333333333333329E-2</v>
      </c>
      <c r="K1084" s="111">
        <v>0.41666666666666669</v>
      </c>
      <c r="L1084">
        <v>0</v>
      </c>
    </row>
    <row r="1085" spans="1:12" x14ac:dyDescent="0.2">
      <c r="A1085" s="111" t="s">
        <v>1146</v>
      </c>
      <c r="B1085" s="132">
        <v>33</v>
      </c>
      <c r="C1085" s="111">
        <v>182.88</v>
      </c>
      <c r="D1085" s="111">
        <v>70.306759999999997</v>
      </c>
      <c r="E1085" s="111">
        <v>74</v>
      </c>
      <c r="F1085" s="111">
        <v>6</v>
      </c>
      <c r="G1085" s="133">
        <v>0</v>
      </c>
      <c r="H1085" s="111">
        <v>38.166666666666664</v>
      </c>
      <c r="I1085" s="111">
        <v>0.83333333333333337</v>
      </c>
      <c r="J1085" s="111">
        <v>0</v>
      </c>
      <c r="K1085" s="111">
        <v>0</v>
      </c>
      <c r="L1085">
        <v>0</v>
      </c>
    </row>
    <row r="1086" spans="1:12" x14ac:dyDescent="0.2">
      <c r="A1086" s="111" t="s">
        <v>1147</v>
      </c>
      <c r="B1086" s="132">
        <v>48</v>
      </c>
      <c r="C1086" s="111">
        <v>177.8</v>
      </c>
      <c r="D1086" s="111">
        <v>77.110640000000004</v>
      </c>
      <c r="E1086" s="111">
        <v>71.832059999999998</v>
      </c>
      <c r="F1086" s="111">
        <v>10</v>
      </c>
      <c r="G1086" s="133">
        <v>0.8</v>
      </c>
      <c r="H1086" s="111">
        <v>14.7</v>
      </c>
      <c r="I1086" s="111">
        <v>1</v>
      </c>
      <c r="J1086" s="111">
        <v>0.5</v>
      </c>
      <c r="K1086" s="111">
        <v>1</v>
      </c>
      <c r="L1086">
        <v>0</v>
      </c>
    </row>
    <row r="1087" spans="1:12" x14ac:dyDescent="0.2">
      <c r="A1087" s="111" t="s">
        <v>1148</v>
      </c>
      <c r="B1087" s="132">
        <v>28</v>
      </c>
      <c r="C1087" s="111">
        <v>172.72</v>
      </c>
      <c r="D1087" s="111">
        <v>65.770840000000007</v>
      </c>
      <c r="E1087" s="111">
        <v>69</v>
      </c>
      <c r="F1087" s="111">
        <v>2</v>
      </c>
      <c r="G1087" s="133">
        <v>0</v>
      </c>
      <c r="H1087" s="111">
        <v>15.5</v>
      </c>
      <c r="I1087" s="111">
        <v>0</v>
      </c>
      <c r="J1087" s="111">
        <v>0</v>
      </c>
      <c r="K1087" s="111">
        <v>0</v>
      </c>
      <c r="L1087">
        <v>0</v>
      </c>
    </row>
    <row r="1088" spans="1:12" x14ac:dyDescent="0.2">
      <c r="A1088" s="111" t="s">
        <v>1149</v>
      </c>
      <c r="B1088" s="132">
        <v>36</v>
      </c>
      <c r="C1088" s="111">
        <v>180.34</v>
      </c>
      <c r="D1088" s="111">
        <v>77.110640000000004</v>
      </c>
      <c r="E1088" s="111">
        <v>71</v>
      </c>
      <c r="F1088" s="111">
        <v>19</v>
      </c>
      <c r="G1088" s="133">
        <v>0.52631578947368418</v>
      </c>
      <c r="H1088" s="111">
        <v>30.105263157894736</v>
      </c>
      <c r="I1088" s="111">
        <v>0.52631578947368418</v>
      </c>
      <c r="J1088" s="111">
        <v>0.21052631578947367</v>
      </c>
      <c r="K1088" s="111">
        <v>0.94736842105263153</v>
      </c>
      <c r="L1088">
        <v>0</v>
      </c>
    </row>
    <row r="1089" spans="1:12" x14ac:dyDescent="0.2">
      <c r="A1089" s="111" t="s">
        <v>1150</v>
      </c>
      <c r="B1089" s="132">
        <v>36</v>
      </c>
      <c r="C1089" s="111">
        <v>187.96</v>
      </c>
      <c r="D1089" s="111">
        <v>92.986360000000005</v>
      </c>
      <c r="E1089" s="111">
        <v>76</v>
      </c>
      <c r="F1089" s="111">
        <v>7</v>
      </c>
      <c r="G1089" s="133">
        <v>0.5714285714285714</v>
      </c>
      <c r="H1089" s="111">
        <v>38.714285714285715</v>
      </c>
      <c r="I1089" s="111">
        <v>4.2857142857142856</v>
      </c>
      <c r="J1089" s="111">
        <v>0.14285714285714285</v>
      </c>
      <c r="K1089" s="111">
        <v>2.7142857142857144</v>
      </c>
      <c r="L1089">
        <v>0</v>
      </c>
    </row>
    <row r="1090" spans="1:12" x14ac:dyDescent="0.2">
      <c r="A1090" s="111" t="s">
        <v>1151</v>
      </c>
      <c r="B1090" s="132">
        <v>28</v>
      </c>
      <c r="C1090" s="111">
        <v>177.8</v>
      </c>
      <c r="D1090" s="111">
        <v>56.698999999999998</v>
      </c>
      <c r="E1090" s="111">
        <v>69</v>
      </c>
      <c r="F1090" s="111">
        <v>5</v>
      </c>
      <c r="G1090" s="133">
        <v>0.6</v>
      </c>
      <c r="H1090" s="111">
        <v>24.4</v>
      </c>
      <c r="I1090" s="111">
        <v>2.2000000000000002</v>
      </c>
      <c r="J1090" s="111">
        <v>1</v>
      </c>
      <c r="K1090" s="111">
        <v>4.2</v>
      </c>
      <c r="L1090">
        <v>0</v>
      </c>
    </row>
    <row r="1091" spans="1:12" x14ac:dyDescent="0.2">
      <c r="A1091" s="111" t="s">
        <v>1152</v>
      </c>
      <c r="B1091" s="132">
        <v>53</v>
      </c>
      <c r="C1091" s="111">
        <v>187.96</v>
      </c>
      <c r="D1091" s="111">
        <v>102.0582</v>
      </c>
      <c r="E1091" s="111">
        <v>75.852372000000003</v>
      </c>
      <c r="F1091" s="111">
        <v>6</v>
      </c>
      <c r="G1091" s="133">
        <v>0.66666666666666663</v>
      </c>
      <c r="H1091" s="111">
        <v>5</v>
      </c>
      <c r="I1091" s="111">
        <v>0.33333333333333331</v>
      </c>
      <c r="J1091" s="111">
        <v>0.5</v>
      </c>
      <c r="K1091" s="111">
        <v>0.33333333333333331</v>
      </c>
      <c r="L1091">
        <v>0</v>
      </c>
    </row>
    <row r="1092" spans="1:12" x14ac:dyDescent="0.2">
      <c r="A1092" s="111" t="s">
        <v>1153</v>
      </c>
      <c r="B1092" s="132">
        <v>28</v>
      </c>
      <c r="C1092" s="111">
        <v>180.34</v>
      </c>
      <c r="D1092" s="111">
        <v>83.914519999999996</v>
      </c>
      <c r="E1092" s="111">
        <v>71</v>
      </c>
      <c r="F1092" s="111">
        <v>2</v>
      </c>
      <c r="G1092" s="133">
        <v>0.5</v>
      </c>
      <c r="H1092" s="111">
        <v>30.5</v>
      </c>
      <c r="I1092" s="111">
        <v>3</v>
      </c>
      <c r="J1092" s="111">
        <v>1.5</v>
      </c>
      <c r="K1092" s="111">
        <v>4</v>
      </c>
      <c r="L1092">
        <v>0</v>
      </c>
    </row>
    <row r="1093" spans="1:12" x14ac:dyDescent="0.2">
      <c r="A1093" s="111" t="s">
        <v>1154</v>
      </c>
      <c r="B1093" s="132">
        <v>35</v>
      </c>
      <c r="C1093" s="111">
        <v>172.72</v>
      </c>
      <c r="D1093" s="111">
        <v>61.234920000000002</v>
      </c>
      <c r="E1093" s="111">
        <v>73</v>
      </c>
      <c r="F1093" s="111">
        <v>2</v>
      </c>
      <c r="G1093" s="133">
        <v>0.5</v>
      </c>
      <c r="H1093" s="111">
        <v>8</v>
      </c>
      <c r="I1093" s="111">
        <v>1</v>
      </c>
      <c r="J1093" s="111">
        <v>0.5</v>
      </c>
      <c r="K1093" s="111">
        <v>0.5</v>
      </c>
      <c r="L1093">
        <v>0</v>
      </c>
    </row>
    <row r="1094" spans="1:12" x14ac:dyDescent="0.2">
      <c r="A1094" s="111" t="s">
        <v>1155</v>
      </c>
      <c r="B1094" s="132">
        <v>33</v>
      </c>
      <c r="C1094" s="111">
        <v>175.26</v>
      </c>
      <c r="D1094" s="111">
        <v>77.110640000000004</v>
      </c>
      <c r="E1094" s="111">
        <v>70.826982000000001</v>
      </c>
      <c r="F1094" s="111">
        <v>2</v>
      </c>
      <c r="G1094" s="133">
        <v>0</v>
      </c>
      <c r="H1094" s="111">
        <v>38</v>
      </c>
      <c r="I1094" s="111">
        <v>1.5</v>
      </c>
      <c r="J1094" s="111">
        <v>0</v>
      </c>
      <c r="K1094" s="111">
        <v>1.5</v>
      </c>
      <c r="L1094">
        <v>0</v>
      </c>
    </row>
    <row r="1095" spans="1:12" x14ac:dyDescent="0.2">
      <c r="A1095" s="111" t="s">
        <v>1156</v>
      </c>
      <c r="B1095" s="132">
        <v>42</v>
      </c>
      <c r="C1095" s="111">
        <v>187.96</v>
      </c>
      <c r="D1095" s="111">
        <v>111.13003999999999</v>
      </c>
      <c r="E1095" s="111">
        <v>77</v>
      </c>
      <c r="F1095" s="111">
        <v>6</v>
      </c>
      <c r="G1095" s="133">
        <v>0.5</v>
      </c>
      <c r="H1095" s="111">
        <v>22</v>
      </c>
      <c r="I1095" s="111">
        <v>0.16666666666666666</v>
      </c>
      <c r="J1095" s="111">
        <v>0.33333333333333331</v>
      </c>
      <c r="K1095" s="111">
        <v>0.33333333333333331</v>
      </c>
      <c r="L1095">
        <v>0</v>
      </c>
    </row>
    <row r="1096" spans="1:12" x14ac:dyDescent="0.2">
      <c r="A1096" s="111" t="s">
        <v>1157</v>
      </c>
      <c r="B1096" s="132">
        <v>46</v>
      </c>
      <c r="C1096" s="111">
        <v>167.64</v>
      </c>
      <c r="D1096" s="111">
        <v>70.306759999999997</v>
      </c>
      <c r="E1096" s="111">
        <v>67.811747999999994</v>
      </c>
      <c r="F1096" s="111">
        <v>1</v>
      </c>
      <c r="G1096" s="133">
        <v>0</v>
      </c>
      <c r="H1096" s="111">
        <v>6</v>
      </c>
      <c r="I1096" s="111">
        <v>3</v>
      </c>
      <c r="J1096" s="111">
        <v>0</v>
      </c>
      <c r="K1096" s="111">
        <v>0</v>
      </c>
      <c r="L1096">
        <v>1</v>
      </c>
    </row>
    <row r="1097" spans="1:12" x14ac:dyDescent="0.2">
      <c r="A1097" s="111" t="s">
        <v>1158</v>
      </c>
      <c r="B1097" s="132">
        <v>33</v>
      </c>
      <c r="C1097" s="111">
        <v>175.26</v>
      </c>
      <c r="D1097" s="111">
        <v>77.110640000000004</v>
      </c>
      <c r="E1097" s="111">
        <v>76</v>
      </c>
      <c r="F1097" s="111">
        <v>3</v>
      </c>
      <c r="G1097" s="133">
        <v>0.66666666666666663</v>
      </c>
      <c r="H1097" s="111">
        <v>15.333333333333334</v>
      </c>
      <c r="I1097" s="111">
        <v>0</v>
      </c>
      <c r="J1097" s="111">
        <v>0</v>
      </c>
      <c r="K1097" s="111">
        <v>0</v>
      </c>
      <c r="L1097">
        <v>0</v>
      </c>
    </row>
    <row r="1098" spans="1:12" x14ac:dyDescent="0.2">
      <c r="A1098" s="111" t="s">
        <v>1159</v>
      </c>
      <c r="B1098" s="132">
        <v>31</v>
      </c>
      <c r="C1098" s="111">
        <v>180.34</v>
      </c>
      <c r="D1098" s="111">
        <v>70.306759999999997</v>
      </c>
      <c r="E1098" s="111">
        <v>70</v>
      </c>
      <c r="F1098" s="111">
        <v>5</v>
      </c>
      <c r="G1098" s="133">
        <v>0.6</v>
      </c>
      <c r="H1098" s="111">
        <v>47.4</v>
      </c>
      <c r="I1098" s="111">
        <v>0.6</v>
      </c>
      <c r="J1098" s="111">
        <v>0.6</v>
      </c>
      <c r="K1098" s="111">
        <v>0.4</v>
      </c>
      <c r="L1098">
        <v>0</v>
      </c>
    </row>
    <row r="1099" spans="1:12" x14ac:dyDescent="0.2">
      <c r="A1099" s="111" t="s">
        <v>1160</v>
      </c>
      <c r="B1099" s="132">
        <v>34</v>
      </c>
      <c r="C1099" s="111">
        <v>187.96</v>
      </c>
      <c r="D1099" s="111">
        <v>77.110640000000004</v>
      </c>
      <c r="E1099" s="111">
        <v>75.852372000000003</v>
      </c>
      <c r="F1099" s="111">
        <v>1</v>
      </c>
      <c r="G1099" s="133">
        <v>0</v>
      </c>
      <c r="H1099" s="111">
        <v>12</v>
      </c>
      <c r="I1099" s="111">
        <v>0</v>
      </c>
      <c r="J1099" s="111">
        <v>0</v>
      </c>
      <c r="K1099" s="111">
        <v>0</v>
      </c>
      <c r="L1099">
        <v>0</v>
      </c>
    </row>
    <row r="1100" spans="1:12" x14ac:dyDescent="0.2">
      <c r="A1100" s="111" t="s">
        <v>1161</v>
      </c>
      <c r="B1100" s="132" t="s">
        <v>1596</v>
      </c>
      <c r="C1100" s="111">
        <v>177.8</v>
      </c>
      <c r="D1100" s="111">
        <v>83.914519999999996</v>
      </c>
      <c r="E1100" s="111">
        <v>71.832059999999998</v>
      </c>
      <c r="F1100" s="111">
        <v>1</v>
      </c>
      <c r="G1100" s="133">
        <v>0</v>
      </c>
      <c r="H1100" s="111">
        <v>0</v>
      </c>
      <c r="I1100" s="111">
        <v>0</v>
      </c>
      <c r="J1100" s="111">
        <v>0</v>
      </c>
      <c r="K1100" s="111">
        <v>0</v>
      </c>
      <c r="L1100">
        <v>0</v>
      </c>
    </row>
    <row r="1101" spans="1:12" x14ac:dyDescent="0.2">
      <c r="A1101" s="111" t="s">
        <v>1162</v>
      </c>
      <c r="B1101" s="132" t="s">
        <v>1596</v>
      </c>
      <c r="C1101" s="111">
        <v>175.26</v>
      </c>
      <c r="D1101" s="111">
        <v>90.264808000000002</v>
      </c>
      <c r="E1101" s="111">
        <v>70.826982000000001</v>
      </c>
      <c r="F1101" s="111">
        <v>2</v>
      </c>
      <c r="G1101" s="133">
        <v>0.5</v>
      </c>
      <c r="H1101" s="111">
        <v>13</v>
      </c>
      <c r="I1101" s="111">
        <v>0</v>
      </c>
      <c r="J1101" s="111">
        <v>1</v>
      </c>
      <c r="K1101" s="111">
        <v>1</v>
      </c>
      <c r="L1101">
        <v>0</v>
      </c>
    </row>
    <row r="1102" spans="1:12" x14ac:dyDescent="0.2">
      <c r="A1102" s="111" t="s">
        <v>1163</v>
      </c>
      <c r="B1102" s="132">
        <v>32</v>
      </c>
      <c r="C1102" s="111">
        <v>175.26</v>
      </c>
      <c r="D1102" s="111">
        <v>70.306759999999997</v>
      </c>
      <c r="E1102" s="111">
        <v>70</v>
      </c>
      <c r="F1102" s="111">
        <v>9</v>
      </c>
      <c r="G1102" s="133">
        <v>0.55555555555555558</v>
      </c>
      <c r="H1102" s="111">
        <v>36.111111111111114</v>
      </c>
      <c r="I1102" s="111">
        <v>1</v>
      </c>
      <c r="J1102" s="111">
        <v>1.1111111111111112</v>
      </c>
      <c r="K1102" s="111">
        <v>1.8888888888888888</v>
      </c>
      <c r="L1102">
        <v>0</v>
      </c>
    </row>
    <row r="1103" spans="1:12" x14ac:dyDescent="0.2">
      <c r="A1103" s="111" t="s">
        <v>1164</v>
      </c>
      <c r="B1103" s="132">
        <v>30</v>
      </c>
      <c r="C1103" s="111">
        <v>177.8</v>
      </c>
      <c r="D1103" s="111">
        <v>65.770840000000007</v>
      </c>
      <c r="E1103" s="111">
        <v>70</v>
      </c>
      <c r="F1103" s="111">
        <v>2</v>
      </c>
      <c r="G1103" s="133">
        <v>0</v>
      </c>
      <c r="H1103" s="111">
        <v>6.5</v>
      </c>
      <c r="I1103" s="111">
        <v>0</v>
      </c>
      <c r="J1103" s="111">
        <v>0</v>
      </c>
      <c r="K1103" s="111">
        <v>0</v>
      </c>
      <c r="L1103">
        <v>0</v>
      </c>
    </row>
    <row r="1104" spans="1:12" x14ac:dyDescent="0.2">
      <c r="A1104" s="111" t="s">
        <v>1165</v>
      </c>
      <c r="B1104" s="132">
        <v>41</v>
      </c>
      <c r="C1104" s="111">
        <v>170.18</v>
      </c>
      <c r="D1104" s="111">
        <v>70.306759999999997</v>
      </c>
      <c r="E1104" s="111">
        <v>68.816826000000006</v>
      </c>
      <c r="F1104" s="111">
        <v>1</v>
      </c>
      <c r="G1104" s="133">
        <v>0</v>
      </c>
      <c r="H1104" s="111">
        <v>2</v>
      </c>
      <c r="I1104" s="111">
        <v>0</v>
      </c>
      <c r="J1104" s="111">
        <v>0</v>
      </c>
      <c r="K1104" s="111">
        <v>0</v>
      </c>
      <c r="L1104">
        <v>0</v>
      </c>
    </row>
    <row r="1105" spans="1:12" x14ac:dyDescent="0.2">
      <c r="A1105" s="111" t="s">
        <v>1166</v>
      </c>
      <c r="B1105" s="132">
        <v>28</v>
      </c>
      <c r="C1105" s="111">
        <v>182.88</v>
      </c>
      <c r="D1105" s="111">
        <v>70.306759999999997</v>
      </c>
      <c r="E1105" s="111">
        <v>73</v>
      </c>
      <c r="F1105" s="111">
        <v>5</v>
      </c>
      <c r="G1105" s="133">
        <v>0.6</v>
      </c>
      <c r="H1105" s="111">
        <v>3</v>
      </c>
      <c r="I1105" s="111">
        <v>0.2</v>
      </c>
      <c r="J1105" s="111">
        <v>2.8</v>
      </c>
      <c r="K1105" s="111">
        <v>0</v>
      </c>
      <c r="L1105">
        <v>0</v>
      </c>
    </row>
    <row r="1106" spans="1:12" x14ac:dyDescent="0.2">
      <c r="A1106" s="111" t="s">
        <v>1167</v>
      </c>
      <c r="B1106" s="132">
        <v>37</v>
      </c>
      <c r="C1106" s="111">
        <v>182.88</v>
      </c>
      <c r="D1106" s="111">
        <v>70.306759999999997</v>
      </c>
      <c r="E1106" s="111">
        <v>72</v>
      </c>
      <c r="F1106" s="111">
        <v>9</v>
      </c>
      <c r="G1106" s="133">
        <v>0.44444444444444442</v>
      </c>
      <c r="H1106" s="111">
        <v>55</v>
      </c>
      <c r="I1106" s="111">
        <v>0.22222222222222221</v>
      </c>
      <c r="J1106" s="111">
        <v>0.44444444444444442</v>
      </c>
      <c r="K1106" s="111">
        <v>0.77777777777777779</v>
      </c>
      <c r="L1106">
        <v>0</v>
      </c>
    </row>
    <row r="1107" spans="1:12" x14ac:dyDescent="0.2">
      <c r="A1107" s="111" t="s">
        <v>1168</v>
      </c>
      <c r="B1107" s="132">
        <v>47</v>
      </c>
      <c r="C1107" s="111">
        <v>203.2</v>
      </c>
      <c r="D1107" s="111">
        <v>136.07759999999999</v>
      </c>
      <c r="E1107" s="111">
        <v>81.882840000000002</v>
      </c>
      <c r="F1107" s="111">
        <v>7</v>
      </c>
      <c r="G1107" s="133">
        <v>0.5714285714285714</v>
      </c>
      <c r="H1107" s="111">
        <v>7.8571428571428568</v>
      </c>
      <c r="I1107" s="111">
        <v>0.2857142857142857</v>
      </c>
      <c r="J1107" s="111">
        <v>0.42857142857142855</v>
      </c>
      <c r="K1107" s="111">
        <v>0.8571428571428571</v>
      </c>
      <c r="L1107">
        <v>0</v>
      </c>
    </row>
    <row r="1108" spans="1:12" x14ac:dyDescent="0.2">
      <c r="A1108" s="111" t="s">
        <v>1169</v>
      </c>
      <c r="B1108" s="132">
        <v>35</v>
      </c>
      <c r="C1108" s="111">
        <v>180.34</v>
      </c>
      <c r="D1108" s="111">
        <v>77.110640000000004</v>
      </c>
      <c r="E1108" s="111">
        <v>73</v>
      </c>
      <c r="F1108" s="111">
        <v>13</v>
      </c>
      <c r="G1108" s="133">
        <v>0.38461538461538464</v>
      </c>
      <c r="H1108" s="111">
        <v>19.53846153846154</v>
      </c>
      <c r="I1108" s="111">
        <v>1.0769230769230769</v>
      </c>
      <c r="J1108" s="111">
        <v>0.92307692307692313</v>
      </c>
      <c r="K1108" s="111">
        <v>1.4615384615384615</v>
      </c>
      <c r="L1108">
        <v>0</v>
      </c>
    </row>
    <row r="1109" spans="1:12" x14ac:dyDescent="0.2">
      <c r="A1109" s="111" t="s">
        <v>1170</v>
      </c>
      <c r="B1109" s="132">
        <v>27</v>
      </c>
      <c r="C1109" s="111">
        <v>182.88</v>
      </c>
      <c r="D1109" s="111">
        <v>77.110640000000004</v>
      </c>
      <c r="E1109" s="111">
        <v>73</v>
      </c>
      <c r="F1109" s="111">
        <v>3</v>
      </c>
      <c r="G1109" s="133">
        <v>0.33333333333333331</v>
      </c>
      <c r="H1109" s="111">
        <v>25</v>
      </c>
      <c r="I1109" s="111">
        <v>1</v>
      </c>
      <c r="J1109" s="111">
        <v>0</v>
      </c>
      <c r="K1109" s="111">
        <v>1.6666666666666667</v>
      </c>
      <c r="L1109">
        <v>0</v>
      </c>
    </row>
    <row r="1110" spans="1:12" x14ac:dyDescent="0.2">
      <c r="A1110" s="111" t="s">
        <v>1171</v>
      </c>
      <c r="B1110" s="132">
        <v>30</v>
      </c>
      <c r="C1110" s="111">
        <v>167.64</v>
      </c>
      <c r="D1110" s="111">
        <v>61.234920000000002</v>
      </c>
      <c r="E1110" s="111">
        <v>64</v>
      </c>
      <c r="F1110" s="111">
        <v>4</v>
      </c>
      <c r="G1110" s="133">
        <v>0.25</v>
      </c>
      <c r="H1110" s="111">
        <v>31.25</v>
      </c>
      <c r="I1110" s="111">
        <v>0.5</v>
      </c>
      <c r="J1110" s="111">
        <v>0.75</v>
      </c>
      <c r="K1110" s="111">
        <v>0</v>
      </c>
      <c r="L1110">
        <v>0</v>
      </c>
    </row>
    <row r="1111" spans="1:12" x14ac:dyDescent="0.2">
      <c r="A1111" s="111" t="s">
        <v>1172</v>
      </c>
      <c r="B1111" s="132">
        <v>30</v>
      </c>
      <c r="C1111" s="111">
        <v>165.1</v>
      </c>
      <c r="D1111" s="111">
        <v>61.234920000000002</v>
      </c>
      <c r="E1111" s="111">
        <v>66.806669999999997</v>
      </c>
      <c r="F1111" s="111">
        <v>1</v>
      </c>
      <c r="G1111" s="133">
        <v>0</v>
      </c>
      <c r="H1111" s="111">
        <v>20</v>
      </c>
      <c r="I1111" s="111">
        <v>1</v>
      </c>
      <c r="J1111" s="111">
        <v>1</v>
      </c>
      <c r="K1111" s="111">
        <v>3</v>
      </c>
      <c r="L1111">
        <v>0</v>
      </c>
    </row>
    <row r="1112" spans="1:12" x14ac:dyDescent="0.2">
      <c r="A1112" s="111" t="s">
        <v>1173</v>
      </c>
      <c r="B1112" s="132">
        <v>42</v>
      </c>
      <c r="C1112" s="111">
        <v>185.42</v>
      </c>
      <c r="D1112" s="111">
        <v>109.31567200000001</v>
      </c>
      <c r="E1112" s="111">
        <v>74.847294000000005</v>
      </c>
      <c r="F1112" s="111">
        <v>13</v>
      </c>
      <c r="G1112" s="133">
        <v>0.61538461538461542</v>
      </c>
      <c r="H1112" s="111">
        <v>20.923076923076923</v>
      </c>
      <c r="I1112" s="111">
        <v>0.15384615384615385</v>
      </c>
      <c r="J1112" s="111">
        <v>0</v>
      </c>
      <c r="K1112" s="111">
        <v>7.6923076923076927E-2</v>
      </c>
      <c r="L1112">
        <v>0</v>
      </c>
    </row>
    <row r="1113" spans="1:12" x14ac:dyDescent="0.2">
      <c r="A1113" s="111" t="s">
        <v>1174</v>
      </c>
      <c r="B1113" s="132">
        <v>37</v>
      </c>
      <c r="C1113" s="111">
        <v>185.42</v>
      </c>
      <c r="D1113" s="111">
        <v>61.234920000000002</v>
      </c>
      <c r="E1113" s="111">
        <v>70</v>
      </c>
      <c r="F1113" s="111">
        <v>1</v>
      </c>
      <c r="G1113" s="133">
        <v>0</v>
      </c>
      <c r="H1113" s="111">
        <v>34</v>
      </c>
      <c r="I1113" s="111">
        <v>0</v>
      </c>
      <c r="J1113" s="111">
        <v>0</v>
      </c>
      <c r="K1113" s="111">
        <v>1</v>
      </c>
      <c r="L1113">
        <v>0</v>
      </c>
    </row>
    <row r="1114" spans="1:12" x14ac:dyDescent="0.2">
      <c r="A1114" s="111" t="s">
        <v>1175</v>
      </c>
      <c r="B1114" s="132">
        <v>36</v>
      </c>
      <c r="C1114" s="111">
        <v>177.8</v>
      </c>
      <c r="D1114" s="111">
        <v>70.306759999999997</v>
      </c>
      <c r="E1114" s="111">
        <v>72</v>
      </c>
      <c r="F1114" s="111">
        <v>3</v>
      </c>
      <c r="G1114" s="133">
        <v>0.33333333333333331</v>
      </c>
      <c r="H1114" s="111">
        <v>20</v>
      </c>
      <c r="I1114" s="111">
        <v>1.3333333333333333</v>
      </c>
      <c r="J1114" s="111">
        <v>2.3333333333333335</v>
      </c>
      <c r="K1114" s="111">
        <v>1</v>
      </c>
      <c r="L1114">
        <v>0</v>
      </c>
    </row>
    <row r="1115" spans="1:12" x14ac:dyDescent="0.2">
      <c r="A1115" s="111" t="s">
        <v>1176</v>
      </c>
      <c r="B1115" s="132">
        <v>34</v>
      </c>
      <c r="C1115" s="111">
        <v>180.34</v>
      </c>
      <c r="D1115" s="111">
        <v>77.110640000000004</v>
      </c>
      <c r="E1115" s="111">
        <v>75</v>
      </c>
      <c r="F1115" s="111">
        <v>7</v>
      </c>
      <c r="G1115" s="133">
        <v>0.2857142857142857</v>
      </c>
      <c r="H1115" s="111">
        <v>24.428571428571427</v>
      </c>
      <c r="I1115" s="111">
        <v>0.5714285714285714</v>
      </c>
      <c r="J1115" s="111">
        <v>0.5714285714285714</v>
      </c>
      <c r="K1115" s="111">
        <v>0.2857142857142857</v>
      </c>
      <c r="L1115">
        <v>0</v>
      </c>
    </row>
    <row r="1116" spans="1:12" x14ac:dyDescent="0.2">
      <c r="A1116" s="111" t="s">
        <v>1177</v>
      </c>
      <c r="B1116" s="132">
        <v>45</v>
      </c>
      <c r="C1116" s="111">
        <v>175.26</v>
      </c>
      <c r="D1116" s="111">
        <v>77.110640000000004</v>
      </c>
      <c r="E1116" s="111">
        <v>70.826982000000001</v>
      </c>
      <c r="F1116" s="111">
        <v>7</v>
      </c>
      <c r="G1116" s="133">
        <v>0.42857142857142855</v>
      </c>
      <c r="H1116" s="111">
        <v>8.7142857142857135</v>
      </c>
      <c r="I1116" s="111">
        <v>0.14285714285714285</v>
      </c>
      <c r="J1116" s="111">
        <v>0.14285714285714285</v>
      </c>
      <c r="K1116" s="111">
        <v>0.8571428571428571</v>
      </c>
      <c r="L1116">
        <v>0</v>
      </c>
    </row>
    <row r="1117" spans="1:12" x14ac:dyDescent="0.2">
      <c r="A1117" s="111" t="s">
        <v>1178</v>
      </c>
      <c r="B1117" s="132">
        <v>41</v>
      </c>
      <c r="C1117" s="111">
        <v>190.5</v>
      </c>
      <c r="D1117" s="111">
        <v>106.59412</v>
      </c>
      <c r="E1117" s="111">
        <v>76.85745</v>
      </c>
      <c r="F1117" s="111">
        <v>7</v>
      </c>
      <c r="G1117" s="133">
        <v>0.42857142857142855</v>
      </c>
      <c r="H1117" s="111">
        <v>9</v>
      </c>
      <c r="I1117" s="111">
        <v>0.42857142857142855</v>
      </c>
      <c r="J1117" s="111">
        <v>0.7142857142857143</v>
      </c>
      <c r="K1117" s="111">
        <v>1</v>
      </c>
      <c r="L1117">
        <v>0</v>
      </c>
    </row>
    <row r="1118" spans="1:12" x14ac:dyDescent="0.2">
      <c r="A1118" s="111" t="s">
        <v>1179</v>
      </c>
      <c r="B1118" s="132">
        <v>29</v>
      </c>
      <c r="C1118" s="111">
        <v>182.88</v>
      </c>
      <c r="D1118" s="111">
        <v>77.110640000000004</v>
      </c>
      <c r="E1118" s="111">
        <v>75</v>
      </c>
      <c r="F1118" s="111">
        <v>6</v>
      </c>
      <c r="G1118" s="133">
        <v>0.33333333333333331</v>
      </c>
      <c r="H1118" s="111">
        <v>20.333333333333332</v>
      </c>
      <c r="I1118" s="111">
        <v>1.3333333333333333</v>
      </c>
      <c r="J1118" s="111">
        <v>0.5</v>
      </c>
      <c r="K1118" s="111">
        <v>1.3333333333333333</v>
      </c>
      <c r="L1118">
        <v>1</v>
      </c>
    </row>
    <row r="1119" spans="1:12" x14ac:dyDescent="0.2">
      <c r="A1119" s="111" t="s">
        <v>1180</v>
      </c>
      <c r="B1119" s="132">
        <v>40</v>
      </c>
      <c r="C1119" s="111">
        <v>175.26</v>
      </c>
      <c r="D1119" s="111">
        <v>77.110640000000004</v>
      </c>
      <c r="E1119" s="111">
        <v>72</v>
      </c>
      <c r="F1119" s="111">
        <v>10</v>
      </c>
      <c r="G1119" s="133">
        <v>0.3</v>
      </c>
      <c r="H1119" s="111">
        <v>25.3</v>
      </c>
      <c r="I1119" s="111">
        <v>0.8</v>
      </c>
      <c r="J1119" s="111">
        <v>0.3</v>
      </c>
      <c r="K1119" s="111">
        <v>0.5</v>
      </c>
      <c r="L1119">
        <v>0</v>
      </c>
    </row>
    <row r="1120" spans="1:12" x14ac:dyDescent="0.2">
      <c r="A1120" s="111" t="s">
        <v>1181</v>
      </c>
      <c r="B1120" s="132">
        <v>32</v>
      </c>
      <c r="C1120" s="111">
        <v>187.96</v>
      </c>
      <c r="D1120" s="111">
        <v>92.986360000000005</v>
      </c>
      <c r="E1120" s="111">
        <v>79</v>
      </c>
      <c r="F1120" s="111">
        <v>13</v>
      </c>
      <c r="G1120" s="133">
        <v>0.69230769230769229</v>
      </c>
      <c r="H1120" s="111">
        <v>37.153846153846153</v>
      </c>
      <c r="I1120" s="111">
        <v>2.3846153846153846</v>
      </c>
      <c r="J1120" s="111">
        <v>0.46153846153846156</v>
      </c>
      <c r="K1120" s="111">
        <v>3.3846153846153846</v>
      </c>
      <c r="L1120">
        <v>0</v>
      </c>
    </row>
    <row r="1121" spans="1:12" x14ac:dyDescent="0.2">
      <c r="A1121" s="111" t="s">
        <v>1182</v>
      </c>
      <c r="B1121" s="132">
        <v>33</v>
      </c>
      <c r="C1121" s="111">
        <v>162.56</v>
      </c>
      <c r="D1121" s="111">
        <v>56.698999999999998</v>
      </c>
      <c r="E1121" s="111">
        <v>64</v>
      </c>
      <c r="F1121" s="111">
        <v>5</v>
      </c>
      <c r="G1121" s="133">
        <v>0.2</v>
      </c>
      <c r="H1121" s="111">
        <v>24.8</v>
      </c>
      <c r="I1121" s="111">
        <v>1.2</v>
      </c>
      <c r="J1121" s="111">
        <v>0</v>
      </c>
      <c r="K1121" s="111">
        <v>0.2</v>
      </c>
      <c r="L1121">
        <v>0</v>
      </c>
    </row>
    <row r="1122" spans="1:12" x14ac:dyDescent="0.2">
      <c r="A1122" s="111" t="s">
        <v>1183</v>
      </c>
      <c r="B1122" s="132">
        <v>46</v>
      </c>
      <c r="C1122" s="111">
        <v>157.47999999999999</v>
      </c>
      <c r="D1122" s="111">
        <v>77.110640000000004</v>
      </c>
      <c r="E1122" s="111">
        <v>63.791435999999997</v>
      </c>
      <c r="F1122" s="111">
        <v>1</v>
      </c>
      <c r="G1122" s="133">
        <v>0</v>
      </c>
      <c r="H1122" s="111">
        <v>2</v>
      </c>
      <c r="I1122" s="111">
        <v>0</v>
      </c>
      <c r="J1122" s="111">
        <v>0</v>
      </c>
      <c r="K1122" s="111">
        <v>0</v>
      </c>
      <c r="L1122">
        <v>1</v>
      </c>
    </row>
    <row r="1123" spans="1:12" x14ac:dyDescent="0.2">
      <c r="A1123" s="111" t="s">
        <v>1184</v>
      </c>
      <c r="B1123" s="132">
        <v>30</v>
      </c>
      <c r="C1123" s="111">
        <v>195.58</v>
      </c>
      <c r="D1123" s="111">
        <v>113.398</v>
      </c>
      <c r="E1123" s="111">
        <v>82</v>
      </c>
      <c r="F1123" s="111">
        <v>5</v>
      </c>
      <c r="G1123" s="133">
        <v>0.4</v>
      </c>
      <c r="H1123" s="111">
        <v>12.6</v>
      </c>
      <c r="I1123" s="111">
        <v>1.2</v>
      </c>
      <c r="J1123" s="111">
        <v>0.2</v>
      </c>
      <c r="K1123" s="111">
        <v>2.2000000000000002</v>
      </c>
      <c r="L1123">
        <v>0</v>
      </c>
    </row>
    <row r="1124" spans="1:12" x14ac:dyDescent="0.2">
      <c r="A1124" s="111" t="s">
        <v>1185</v>
      </c>
      <c r="B1124" s="132" t="s">
        <v>1596</v>
      </c>
      <c r="C1124" s="111">
        <v>180.34</v>
      </c>
      <c r="D1124" s="111">
        <v>83.914519999999996</v>
      </c>
      <c r="E1124" s="111">
        <v>72.837137999999996</v>
      </c>
      <c r="F1124" s="111">
        <v>2</v>
      </c>
      <c r="G1124" s="133">
        <v>1</v>
      </c>
      <c r="H1124" s="111">
        <v>20</v>
      </c>
      <c r="I1124" s="111">
        <v>3</v>
      </c>
      <c r="J1124" s="111">
        <v>0.5</v>
      </c>
      <c r="K1124" s="111">
        <v>9.5</v>
      </c>
      <c r="L1124">
        <v>0</v>
      </c>
    </row>
    <row r="1125" spans="1:12" x14ac:dyDescent="0.2">
      <c r="A1125" s="111" t="s">
        <v>1186</v>
      </c>
      <c r="B1125" s="132">
        <v>32</v>
      </c>
      <c r="C1125" s="111">
        <v>175.26</v>
      </c>
      <c r="D1125" s="111">
        <v>65.770840000000007</v>
      </c>
      <c r="E1125" s="111">
        <v>72</v>
      </c>
      <c r="F1125" s="111">
        <v>5</v>
      </c>
      <c r="G1125" s="133">
        <v>0.2</v>
      </c>
      <c r="H1125" s="111">
        <v>14.8</v>
      </c>
      <c r="I1125" s="111">
        <v>1.2</v>
      </c>
      <c r="J1125" s="111">
        <v>0.8</v>
      </c>
      <c r="K1125" s="111">
        <v>0.2</v>
      </c>
      <c r="L1125">
        <v>0</v>
      </c>
    </row>
    <row r="1126" spans="1:12" x14ac:dyDescent="0.2">
      <c r="A1126" s="111" t="s">
        <v>1187</v>
      </c>
      <c r="B1126" s="132">
        <v>29</v>
      </c>
      <c r="C1126" s="111">
        <v>175.26</v>
      </c>
      <c r="D1126" s="111">
        <v>70.306759999999997</v>
      </c>
      <c r="E1126" s="111">
        <v>71</v>
      </c>
      <c r="F1126" s="111">
        <v>6</v>
      </c>
      <c r="G1126" s="133">
        <v>0.33333333333333331</v>
      </c>
      <c r="H1126" s="111">
        <v>46.833333333333336</v>
      </c>
      <c r="I1126" s="111">
        <v>2</v>
      </c>
      <c r="J1126" s="111">
        <v>0.33333333333333331</v>
      </c>
      <c r="K1126" s="111">
        <v>1.1666666666666667</v>
      </c>
      <c r="L1126">
        <v>0</v>
      </c>
    </row>
    <row r="1127" spans="1:12" x14ac:dyDescent="0.2">
      <c r="A1127" s="111" t="s">
        <v>1188</v>
      </c>
      <c r="B1127" s="132">
        <v>32</v>
      </c>
      <c r="C1127" s="111">
        <v>190.5</v>
      </c>
      <c r="D1127" s="111">
        <v>70.306759999999997</v>
      </c>
      <c r="E1127" s="111">
        <v>76</v>
      </c>
      <c r="F1127" s="111">
        <v>2</v>
      </c>
      <c r="G1127" s="133">
        <v>0</v>
      </c>
      <c r="H1127" s="111">
        <v>12.5</v>
      </c>
      <c r="I1127" s="111">
        <v>0</v>
      </c>
      <c r="J1127" s="111">
        <v>0</v>
      </c>
      <c r="K1127" s="111">
        <v>0</v>
      </c>
      <c r="L1127">
        <v>0</v>
      </c>
    </row>
    <row r="1128" spans="1:12" x14ac:dyDescent="0.2">
      <c r="A1128" s="111" t="s">
        <v>1566</v>
      </c>
      <c r="B1128" s="132">
        <v>38</v>
      </c>
      <c r="C1128" s="111">
        <v>185.42</v>
      </c>
      <c r="D1128" s="111">
        <v>92.986360000000005</v>
      </c>
      <c r="E1128" s="111">
        <v>73</v>
      </c>
      <c r="F1128" s="111">
        <v>13</v>
      </c>
      <c r="G1128" s="133">
        <v>0.61538461538461542</v>
      </c>
      <c r="H1128" s="111">
        <v>39.53846153846154</v>
      </c>
      <c r="I1128" s="111">
        <v>0.46153846153846156</v>
      </c>
      <c r="J1128" s="111">
        <v>0</v>
      </c>
      <c r="K1128" s="111">
        <v>0.69230769230769229</v>
      </c>
      <c r="L1128">
        <v>0</v>
      </c>
    </row>
    <row r="1129" spans="1:12" x14ac:dyDescent="0.2">
      <c r="A1129" s="111" t="s">
        <v>1189</v>
      </c>
      <c r="B1129" s="132">
        <v>43</v>
      </c>
      <c r="C1129" s="111">
        <v>203.2</v>
      </c>
      <c r="D1129" s="111">
        <v>111.13003999999999</v>
      </c>
      <c r="E1129" s="111">
        <v>81.882840000000002</v>
      </c>
      <c r="F1129" s="111">
        <v>1</v>
      </c>
      <c r="G1129" s="133">
        <v>1</v>
      </c>
      <c r="H1129" s="111">
        <v>8</v>
      </c>
      <c r="I1129" s="111">
        <v>1</v>
      </c>
      <c r="J1129" s="111">
        <v>0</v>
      </c>
      <c r="K1129" s="111">
        <v>3</v>
      </c>
      <c r="L1129">
        <v>0</v>
      </c>
    </row>
    <row r="1130" spans="1:12" x14ac:dyDescent="0.2">
      <c r="A1130" s="111" t="s">
        <v>1551</v>
      </c>
      <c r="B1130" s="132">
        <v>36</v>
      </c>
      <c r="F1130" s="111">
        <v>5</v>
      </c>
      <c r="G1130" s="133">
        <v>0.2</v>
      </c>
      <c r="H1130" s="111">
        <v>16.600000000000001</v>
      </c>
      <c r="I1130" s="111">
        <v>0</v>
      </c>
      <c r="J1130" s="111">
        <v>0</v>
      </c>
      <c r="K1130" s="111">
        <v>0</v>
      </c>
      <c r="L1130">
        <v>0</v>
      </c>
    </row>
    <row r="1131" spans="1:12" x14ac:dyDescent="0.2">
      <c r="A1131" s="111" t="s">
        <v>1555</v>
      </c>
      <c r="B1131" s="132">
        <v>32</v>
      </c>
      <c r="C1131" s="111">
        <v>172.72</v>
      </c>
      <c r="D1131" s="111">
        <v>70.306759999999997</v>
      </c>
      <c r="E1131" s="111">
        <v>70</v>
      </c>
      <c r="F1131" s="111">
        <v>19</v>
      </c>
      <c r="G1131" s="133">
        <v>0.73684210526315785</v>
      </c>
      <c r="H1131" s="111">
        <v>35.789473684210527</v>
      </c>
      <c r="I1131" s="111">
        <v>2.0526315789473686</v>
      </c>
      <c r="J1131" s="111">
        <v>0.63157894736842102</v>
      </c>
      <c r="K1131" s="111">
        <v>1.7894736842105263</v>
      </c>
      <c r="L1131">
        <v>0</v>
      </c>
    </row>
    <row r="1132" spans="1:12" x14ac:dyDescent="0.2">
      <c r="A1132" s="111" t="s">
        <v>1190</v>
      </c>
      <c r="B1132" s="132">
        <v>34</v>
      </c>
      <c r="C1132" s="111">
        <v>182.88</v>
      </c>
      <c r="D1132" s="111">
        <v>83.914519999999996</v>
      </c>
      <c r="E1132" s="111">
        <v>76</v>
      </c>
      <c r="F1132" s="111">
        <v>14</v>
      </c>
      <c r="G1132" s="133">
        <v>0.6428571428571429</v>
      </c>
      <c r="H1132" s="111">
        <v>43.928571428571431</v>
      </c>
      <c r="I1132" s="111">
        <v>2.3571428571428572</v>
      </c>
      <c r="J1132" s="111">
        <v>0.5</v>
      </c>
      <c r="K1132" s="111">
        <v>2.9285714285714284</v>
      </c>
      <c r="L1132">
        <v>0</v>
      </c>
    </row>
    <row r="1133" spans="1:12" x14ac:dyDescent="0.2">
      <c r="A1133" s="111" t="s">
        <v>1191</v>
      </c>
      <c r="B1133" s="132">
        <v>34</v>
      </c>
      <c r="C1133" s="111">
        <v>172.72</v>
      </c>
      <c r="D1133" s="111">
        <v>70.306759999999997</v>
      </c>
      <c r="E1133" s="111">
        <v>71</v>
      </c>
      <c r="F1133" s="111">
        <v>8</v>
      </c>
      <c r="G1133" s="133">
        <v>0.25</v>
      </c>
      <c r="H1133" s="111">
        <v>23.125</v>
      </c>
      <c r="I1133" s="111">
        <v>1.75</v>
      </c>
      <c r="J1133" s="111">
        <v>1.125</v>
      </c>
      <c r="K1133" s="111">
        <v>2.125</v>
      </c>
      <c r="L1133">
        <v>0</v>
      </c>
    </row>
    <row r="1134" spans="1:12" x14ac:dyDescent="0.2">
      <c r="A1134" s="111" t="s">
        <v>1192</v>
      </c>
      <c r="B1134" s="132" t="s">
        <v>1596</v>
      </c>
      <c r="C1134" s="111">
        <v>182.88</v>
      </c>
      <c r="D1134" s="111">
        <v>90.264808000000002</v>
      </c>
      <c r="E1134" s="111">
        <v>73.842215999999993</v>
      </c>
      <c r="F1134" s="111">
        <v>1</v>
      </c>
      <c r="G1134" s="133">
        <v>0</v>
      </c>
      <c r="H1134" s="111">
        <v>0</v>
      </c>
      <c r="I1134" s="111">
        <v>0</v>
      </c>
      <c r="J1134" s="111">
        <v>0</v>
      </c>
      <c r="K1134" s="111">
        <v>0</v>
      </c>
      <c r="L1134">
        <v>0</v>
      </c>
    </row>
    <row r="1135" spans="1:12" x14ac:dyDescent="0.2">
      <c r="A1135" s="111" t="s">
        <v>1193</v>
      </c>
      <c r="B1135" s="132">
        <v>32</v>
      </c>
      <c r="C1135" s="111">
        <v>177.8</v>
      </c>
      <c r="D1135" s="111">
        <v>92.986360000000005</v>
      </c>
      <c r="E1135" s="111">
        <v>78</v>
      </c>
      <c r="F1135" s="111">
        <v>3</v>
      </c>
      <c r="G1135" s="133">
        <v>0.33333333333333331</v>
      </c>
      <c r="H1135" s="111">
        <v>20</v>
      </c>
      <c r="I1135" s="111">
        <v>0.66666666666666663</v>
      </c>
      <c r="J1135" s="111">
        <v>0.66666666666666663</v>
      </c>
      <c r="K1135" s="111">
        <v>0</v>
      </c>
      <c r="L1135">
        <v>0</v>
      </c>
    </row>
    <row r="1136" spans="1:12" x14ac:dyDescent="0.2">
      <c r="A1136" s="111" t="s">
        <v>1194</v>
      </c>
      <c r="B1136" s="132">
        <v>30</v>
      </c>
      <c r="C1136" s="111">
        <v>175.26</v>
      </c>
      <c r="D1136" s="111">
        <v>61.234920000000002</v>
      </c>
      <c r="E1136" s="111">
        <v>69</v>
      </c>
      <c r="F1136" s="111">
        <v>2</v>
      </c>
      <c r="G1136" s="133">
        <v>0</v>
      </c>
      <c r="H1136" s="111">
        <v>22</v>
      </c>
      <c r="I1136" s="111">
        <v>0</v>
      </c>
      <c r="J1136" s="111">
        <v>0</v>
      </c>
      <c r="K1136" s="111">
        <v>0</v>
      </c>
      <c r="L1136">
        <v>0</v>
      </c>
    </row>
    <row r="1137" spans="1:12" x14ac:dyDescent="0.2">
      <c r="A1137" s="111" t="s">
        <v>1195</v>
      </c>
      <c r="B1137" s="132">
        <v>28</v>
      </c>
      <c r="C1137" s="111">
        <v>180.34</v>
      </c>
      <c r="D1137" s="111">
        <v>70.306759999999997</v>
      </c>
      <c r="E1137" s="111">
        <v>75</v>
      </c>
      <c r="F1137" s="111">
        <v>10</v>
      </c>
      <c r="G1137" s="133">
        <v>0.5</v>
      </c>
      <c r="H1137" s="111">
        <v>25.8</v>
      </c>
      <c r="I1137" s="111">
        <v>3</v>
      </c>
      <c r="J1137" s="111">
        <v>0.6</v>
      </c>
      <c r="K1137" s="111">
        <v>2.5</v>
      </c>
      <c r="L1137">
        <v>0</v>
      </c>
    </row>
    <row r="1138" spans="1:12" x14ac:dyDescent="0.2">
      <c r="A1138" s="111" t="s">
        <v>1196</v>
      </c>
      <c r="B1138" s="132">
        <v>31</v>
      </c>
      <c r="C1138" s="111">
        <v>162.56</v>
      </c>
      <c r="D1138" s="111">
        <v>52.163080000000001</v>
      </c>
      <c r="E1138" s="111">
        <v>63</v>
      </c>
      <c r="F1138" s="111">
        <v>3</v>
      </c>
      <c r="G1138" s="133">
        <v>0.33333333333333331</v>
      </c>
      <c r="H1138" s="111">
        <v>35.666666666666664</v>
      </c>
      <c r="I1138" s="111">
        <v>1.3333333333333333</v>
      </c>
      <c r="J1138" s="111">
        <v>0.33333333333333331</v>
      </c>
      <c r="K1138" s="111">
        <v>2.3333333333333335</v>
      </c>
      <c r="L1138">
        <v>0</v>
      </c>
    </row>
    <row r="1139" spans="1:12" x14ac:dyDescent="0.2">
      <c r="A1139" s="111" t="s">
        <v>1197</v>
      </c>
      <c r="B1139" s="132">
        <v>26</v>
      </c>
      <c r="C1139" s="111">
        <v>190.5</v>
      </c>
      <c r="D1139" s="111">
        <v>77.110640000000004</v>
      </c>
      <c r="E1139" s="111">
        <v>78</v>
      </c>
      <c r="F1139" s="111">
        <v>1</v>
      </c>
      <c r="G1139" s="133">
        <v>1</v>
      </c>
      <c r="H1139" s="111">
        <v>48</v>
      </c>
      <c r="I1139" s="111">
        <v>1</v>
      </c>
      <c r="J1139" s="111">
        <v>1</v>
      </c>
      <c r="K1139" s="111">
        <v>1</v>
      </c>
      <c r="L1139">
        <v>0</v>
      </c>
    </row>
    <row r="1140" spans="1:12" x14ac:dyDescent="0.2">
      <c r="A1140" s="111" t="s">
        <v>1198</v>
      </c>
      <c r="B1140" s="132">
        <v>53</v>
      </c>
      <c r="C1140" s="111">
        <v>185.42</v>
      </c>
      <c r="D1140" s="111">
        <v>92.986360000000005</v>
      </c>
      <c r="E1140" s="111">
        <v>75</v>
      </c>
      <c r="F1140" s="111">
        <v>23</v>
      </c>
      <c r="G1140" s="133">
        <v>0.65217391304347827</v>
      </c>
      <c r="H1140" s="111">
        <v>33</v>
      </c>
      <c r="I1140" s="111">
        <v>2.1304347826086958</v>
      </c>
      <c r="J1140" s="111">
        <v>0.43478260869565216</v>
      </c>
      <c r="K1140" s="111">
        <v>1.826086956521739</v>
      </c>
      <c r="L1140">
        <v>0</v>
      </c>
    </row>
    <row r="1141" spans="1:12" x14ac:dyDescent="0.2">
      <c r="A1141" s="111" t="s">
        <v>1199</v>
      </c>
      <c r="B1141" s="132">
        <v>32</v>
      </c>
      <c r="C1141" s="111">
        <v>167.64</v>
      </c>
      <c r="D1141" s="111">
        <v>61.234920000000002</v>
      </c>
      <c r="E1141" s="111">
        <v>67</v>
      </c>
      <c r="F1141" s="111">
        <v>9</v>
      </c>
      <c r="G1141" s="133">
        <v>0.66666666666666663</v>
      </c>
      <c r="H1141" s="111">
        <v>17.777777777777779</v>
      </c>
      <c r="I1141" s="111">
        <v>2.2222222222222223</v>
      </c>
      <c r="J1141" s="111">
        <v>1.4444444444444444</v>
      </c>
      <c r="K1141" s="111">
        <v>2.7777777777777777</v>
      </c>
      <c r="L1141">
        <v>0</v>
      </c>
    </row>
    <row r="1142" spans="1:12" x14ac:dyDescent="0.2">
      <c r="A1142" s="111" t="s">
        <v>1200</v>
      </c>
      <c r="B1142" s="132">
        <v>34</v>
      </c>
      <c r="C1142" s="111">
        <v>165.1</v>
      </c>
      <c r="D1142" s="111">
        <v>61.234920000000002</v>
      </c>
      <c r="E1142" s="111">
        <v>66</v>
      </c>
      <c r="F1142" s="111">
        <v>8</v>
      </c>
      <c r="G1142" s="133">
        <v>0.875</v>
      </c>
      <c r="H1142" s="111">
        <v>47.75</v>
      </c>
      <c r="I1142" s="111">
        <v>1.375</v>
      </c>
      <c r="J1142" s="111">
        <v>0.25</v>
      </c>
      <c r="K1142" s="111">
        <v>0.875</v>
      </c>
      <c r="L1142">
        <v>0</v>
      </c>
    </row>
    <row r="1143" spans="1:12" x14ac:dyDescent="0.2">
      <c r="A1143" s="111" t="s">
        <v>1201</v>
      </c>
      <c r="B1143" s="132">
        <v>28</v>
      </c>
      <c r="C1143" s="111">
        <v>170.18</v>
      </c>
      <c r="D1143" s="111">
        <v>61.234920000000002</v>
      </c>
      <c r="E1143" s="111">
        <v>67</v>
      </c>
      <c r="F1143" s="111">
        <v>5</v>
      </c>
      <c r="G1143" s="133">
        <v>0.6</v>
      </c>
      <c r="H1143" s="111">
        <v>49.6</v>
      </c>
      <c r="I1143" s="111">
        <v>1.2</v>
      </c>
      <c r="J1143" s="111">
        <v>1</v>
      </c>
      <c r="K1143" s="111">
        <v>0.6</v>
      </c>
      <c r="L1143">
        <v>0</v>
      </c>
    </row>
    <row r="1144" spans="1:12" x14ac:dyDescent="0.2">
      <c r="A1144" s="111" t="s">
        <v>1202</v>
      </c>
      <c r="B1144" s="132">
        <v>37</v>
      </c>
      <c r="C1144" s="111">
        <v>182.88</v>
      </c>
      <c r="D1144" s="111">
        <v>92.986360000000005</v>
      </c>
      <c r="E1144" s="111">
        <v>75</v>
      </c>
      <c r="F1144" s="111">
        <v>19</v>
      </c>
      <c r="G1144" s="133">
        <v>0.73684210526315785</v>
      </c>
      <c r="H1144" s="111">
        <v>28.210526315789473</v>
      </c>
      <c r="I1144" s="111">
        <v>2.6315789473684212</v>
      </c>
      <c r="J1144" s="111">
        <v>0</v>
      </c>
      <c r="K1144" s="111">
        <v>1.8947368421052631</v>
      </c>
      <c r="L1144">
        <v>0</v>
      </c>
    </row>
    <row r="1145" spans="1:12" x14ac:dyDescent="0.2">
      <c r="A1145" s="111" t="s">
        <v>1203</v>
      </c>
      <c r="B1145" s="132">
        <v>32</v>
      </c>
      <c r="C1145" s="111">
        <v>175.26</v>
      </c>
      <c r="D1145" s="111">
        <v>70.306759999999997</v>
      </c>
      <c r="E1145" s="111">
        <v>70</v>
      </c>
      <c r="F1145" s="111">
        <v>4</v>
      </c>
      <c r="G1145" s="133">
        <v>1</v>
      </c>
      <c r="H1145" s="111">
        <v>70</v>
      </c>
      <c r="I1145" s="111">
        <v>0.75</v>
      </c>
      <c r="J1145" s="111">
        <v>0.25</v>
      </c>
      <c r="K1145" s="111">
        <v>0.5</v>
      </c>
      <c r="L1145">
        <v>0</v>
      </c>
    </row>
    <row r="1146" spans="1:12" x14ac:dyDescent="0.2">
      <c r="A1146" s="111" t="s">
        <v>1204</v>
      </c>
      <c r="B1146" s="132">
        <v>23</v>
      </c>
      <c r="C1146" s="111">
        <v>162.56</v>
      </c>
      <c r="D1146" s="111">
        <v>56.698999999999998</v>
      </c>
      <c r="E1146" s="111">
        <v>63</v>
      </c>
      <c r="F1146" s="111">
        <v>5</v>
      </c>
      <c r="G1146" s="133">
        <v>0.6</v>
      </c>
      <c r="H1146" s="111">
        <v>15.8</v>
      </c>
      <c r="I1146" s="111">
        <v>3</v>
      </c>
      <c r="J1146" s="111">
        <v>2</v>
      </c>
      <c r="K1146" s="111">
        <v>5.6</v>
      </c>
      <c r="L1146">
        <v>0</v>
      </c>
    </row>
    <row r="1147" spans="1:12" x14ac:dyDescent="0.2">
      <c r="A1147" s="111" t="s">
        <v>1205</v>
      </c>
      <c r="B1147" s="132" t="s">
        <v>1596</v>
      </c>
      <c r="F1147" s="111">
        <v>1</v>
      </c>
      <c r="G1147" s="133">
        <v>0</v>
      </c>
      <c r="H1147" s="111">
        <v>1</v>
      </c>
      <c r="I1147" s="111">
        <v>0</v>
      </c>
      <c r="J1147" s="111">
        <v>0</v>
      </c>
      <c r="K1147" s="111">
        <v>0</v>
      </c>
      <c r="L1147">
        <v>0</v>
      </c>
    </row>
    <row r="1148" spans="1:12" x14ac:dyDescent="0.2">
      <c r="A1148" s="111" t="s">
        <v>1206</v>
      </c>
      <c r="B1148" s="132">
        <v>34</v>
      </c>
      <c r="C1148" s="111">
        <v>187.96</v>
      </c>
      <c r="D1148" s="111">
        <v>92.986360000000005</v>
      </c>
      <c r="E1148" s="111">
        <v>75.852372000000003</v>
      </c>
      <c r="F1148" s="111">
        <v>2</v>
      </c>
      <c r="G1148" s="133">
        <v>0</v>
      </c>
      <c r="H1148" s="111">
        <v>22</v>
      </c>
      <c r="I1148" s="111">
        <v>0.5</v>
      </c>
      <c r="J1148" s="111">
        <v>0</v>
      </c>
      <c r="K1148" s="111">
        <v>0.5</v>
      </c>
      <c r="L1148">
        <v>0</v>
      </c>
    </row>
    <row r="1149" spans="1:12" x14ac:dyDescent="0.2">
      <c r="A1149" s="111" t="s">
        <v>1207</v>
      </c>
      <c r="B1149" s="132">
        <v>43</v>
      </c>
      <c r="C1149" s="111">
        <v>182.88</v>
      </c>
      <c r="D1149" s="111">
        <v>92.986360000000005</v>
      </c>
      <c r="E1149" s="111">
        <v>73.842215999999993</v>
      </c>
      <c r="F1149" s="111">
        <v>2</v>
      </c>
      <c r="G1149" s="133">
        <v>0</v>
      </c>
      <c r="H1149" s="111">
        <v>32</v>
      </c>
      <c r="I1149" s="111">
        <v>0.5</v>
      </c>
      <c r="J1149" s="111">
        <v>0</v>
      </c>
      <c r="K1149" s="111">
        <v>0</v>
      </c>
      <c r="L1149">
        <v>0</v>
      </c>
    </row>
    <row r="1150" spans="1:12" x14ac:dyDescent="0.2">
      <c r="A1150" s="111" t="s">
        <v>1208</v>
      </c>
      <c r="B1150" s="132" t="s">
        <v>1596</v>
      </c>
      <c r="C1150" s="111">
        <v>170.18</v>
      </c>
      <c r="D1150" s="111">
        <v>61.234920000000002</v>
      </c>
      <c r="E1150" s="111">
        <v>65</v>
      </c>
      <c r="F1150" s="111">
        <v>1</v>
      </c>
      <c r="G1150" s="133">
        <v>1</v>
      </c>
      <c r="H1150" s="111">
        <v>59</v>
      </c>
      <c r="I1150" s="111">
        <v>0</v>
      </c>
      <c r="J1150" s="111">
        <v>2</v>
      </c>
      <c r="K1150" s="111">
        <v>1</v>
      </c>
      <c r="L1150">
        <v>0</v>
      </c>
    </row>
    <row r="1151" spans="1:12" x14ac:dyDescent="0.2">
      <c r="A1151" s="111" t="s">
        <v>1209</v>
      </c>
      <c r="B1151" s="132" t="s">
        <v>1596</v>
      </c>
      <c r="C1151" s="111">
        <v>190.5</v>
      </c>
      <c r="D1151" s="111">
        <v>117.93392</v>
      </c>
      <c r="E1151" s="111">
        <v>76.85745</v>
      </c>
      <c r="F1151" s="111">
        <v>5</v>
      </c>
      <c r="G1151" s="133">
        <v>0.6</v>
      </c>
      <c r="H1151" s="111">
        <v>2.6</v>
      </c>
      <c r="I1151" s="111">
        <v>0.8</v>
      </c>
      <c r="J1151" s="111">
        <v>0.8</v>
      </c>
      <c r="K1151" s="111">
        <v>1</v>
      </c>
      <c r="L1151">
        <v>1</v>
      </c>
    </row>
    <row r="1152" spans="1:12" x14ac:dyDescent="0.2">
      <c r="A1152" s="111" t="s">
        <v>1210</v>
      </c>
      <c r="B1152" s="132">
        <v>29</v>
      </c>
      <c r="C1152" s="111">
        <v>167.64</v>
      </c>
      <c r="D1152" s="111">
        <v>61.234920000000002</v>
      </c>
      <c r="E1152" s="111">
        <v>70</v>
      </c>
      <c r="F1152" s="111">
        <v>10</v>
      </c>
      <c r="G1152" s="133">
        <v>0.8</v>
      </c>
      <c r="H1152" s="111">
        <v>53.8</v>
      </c>
      <c r="I1152" s="111">
        <v>1.2</v>
      </c>
      <c r="J1152" s="111">
        <v>0.3</v>
      </c>
      <c r="K1152" s="111">
        <v>0.8</v>
      </c>
      <c r="L1152">
        <v>0</v>
      </c>
    </row>
    <row r="1153" spans="1:12" x14ac:dyDescent="0.2">
      <c r="A1153" s="111" t="s">
        <v>1570</v>
      </c>
      <c r="B1153" s="132" t="s">
        <v>1596</v>
      </c>
      <c r="F1153" s="111">
        <v>1</v>
      </c>
      <c r="G1153" s="133">
        <v>1</v>
      </c>
      <c r="H1153" s="111">
        <v>48</v>
      </c>
      <c r="I1153" s="111">
        <v>1</v>
      </c>
      <c r="J1153" s="111">
        <v>1</v>
      </c>
      <c r="K1153" s="111">
        <v>3</v>
      </c>
      <c r="L1153">
        <v>0</v>
      </c>
    </row>
    <row r="1154" spans="1:12" x14ac:dyDescent="0.2">
      <c r="A1154" s="111" t="s">
        <v>1211</v>
      </c>
      <c r="B1154" s="132">
        <v>41</v>
      </c>
      <c r="C1154" s="111">
        <v>185.42</v>
      </c>
      <c r="D1154" s="111">
        <v>92.986360000000005</v>
      </c>
      <c r="E1154" s="111">
        <v>75</v>
      </c>
      <c r="F1154" s="111">
        <v>10</v>
      </c>
      <c r="G1154" s="133">
        <v>0.6</v>
      </c>
      <c r="H1154" s="111">
        <v>16.2</v>
      </c>
      <c r="I1154" s="111">
        <v>1.6</v>
      </c>
      <c r="J1154" s="111">
        <v>1.7</v>
      </c>
      <c r="K1154" s="111">
        <v>0.5</v>
      </c>
      <c r="L1154">
        <v>0</v>
      </c>
    </row>
    <row r="1155" spans="1:12" x14ac:dyDescent="0.2">
      <c r="A1155" s="111" t="s">
        <v>1212</v>
      </c>
      <c r="B1155" s="132" t="s">
        <v>1596</v>
      </c>
      <c r="C1155" s="111">
        <v>185.42</v>
      </c>
      <c r="D1155" s="111">
        <v>77.110640000000004</v>
      </c>
      <c r="E1155" s="111">
        <v>74.847294000000005</v>
      </c>
      <c r="F1155" s="111">
        <v>3</v>
      </c>
      <c r="G1155" s="133">
        <v>0.33333333333333331</v>
      </c>
      <c r="H1155" s="111">
        <v>9.3333333333333339</v>
      </c>
      <c r="I1155" s="111">
        <v>0</v>
      </c>
      <c r="J1155" s="111">
        <v>2.3333333333333335</v>
      </c>
      <c r="K1155" s="111">
        <v>1.6666666666666667</v>
      </c>
      <c r="L1155">
        <v>0</v>
      </c>
    </row>
    <row r="1156" spans="1:12" x14ac:dyDescent="0.2">
      <c r="A1156" s="111" t="s">
        <v>1213</v>
      </c>
      <c r="B1156" s="132">
        <v>29</v>
      </c>
      <c r="C1156" s="111">
        <v>170.18</v>
      </c>
      <c r="D1156" s="111">
        <v>70.306759999999997</v>
      </c>
      <c r="E1156" s="111">
        <v>71</v>
      </c>
      <c r="F1156" s="111">
        <v>4</v>
      </c>
      <c r="G1156" s="133">
        <v>0.25</v>
      </c>
      <c r="H1156" s="111">
        <v>23.5</v>
      </c>
      <c r="I1156" s="111">
        <v>1.75</v>
      </c>
      <c r="J1156" s="111">
        <v>0</v>
      </c>
      <c r="K1156" s="111">
        <v>1.75</v>
      </c>
      <c r="L1156">
        <v>0</v>
      </c>
    </row>
    <row r="1157" spans="1:12" x14ac:dyDescent="0.2">
      <c r="A1157" s="111" t="s">
        <v>1214</v>
      </c>
      <c r="B1157" s="132">
        <v>49</v>
      </c>
      <c r="C1157" s="111">
        <v>177.8</v>
      </c>
      <c r="D1157" s="111">
        <v>83.914519999999996</v>
      </c>
      <c r="E1157" s="111">
        <v>71.832059999999998</v>
      </c>
      <c r="F1157" s="111">
        <v>1</v>
      </c>
      <c r="G1157" s="133">
        <v>0</v>
      </c>
      <c r="H1157" s="111">
        <v>34</v>
      </c>
      <c r="I1157" s="111">
        <v>0</v>
      </c>
      <c r="J1157" s="111">
        <v>0</v>
      </c>
      <c r="K1157" s="111">
        <v>0</v>
      </c>
      <c r="L1157">
        <v>0</v>
      </c>
    </row>
    <row r="1158" spans="1:12" x14ac:dyDescent="0.2">
      <c r="A1158" s="111" t="s">
        <v>1215</v>
      </c>
      <c r="B1158" s="132">
        <v>33</v>
      </c>
      <c r="C1158" s="111">
        <v>170.18</v>
      </c>
      <c r="D1158" s="111">
        <v>61.234920000000002</v>
      </c>
      <c r="E1158" s="111">
        <v>69</v>
      </c>
      <c r="F1158" s="111">
        <v>4</v>
      </c>
      <c r="G1158" s="133">
        <v>0.25</v>
      </c>
      <c r="H1158" s="111">
        <v>36.75</v>
      </c>
      <c r="I1158" s="111">
        <v>0.75</v>
      </c>
      <c r="J1158" s="111">
        <v>0.5</v>
      </c>
      <c r="K1158" s="111">
        <v>1.5</v>
      </c>
      <c r="L1158">
        <v>0</v>
      </c>
    </row>
    <row r="1159" spans="1:12" x14ac:dyDescent="0.2">
      <c r="A1159" s="111" t="s">
        <v>1216</v>
      </c>
      <c r="B1159" s="132" t="s">
        <v>1596</v>
      </c>
      <c r="C1159" s="111">
        <v>190.5</v>
      </c>
      <c r="D1159" s="111">
        <v>92.986360000000005</v>
      </c>
      <c r="E1159" s="111">
        <v>76.85745</v>
      </c>
      <c r="F1159" s="111">
        <v>1</v>
      </c>
      <c r="G1159" s="133">
        <v>0</v>
      </c>
      <c r="H1159" s="111">
        <v>11</v>
      </c>
      <c r="I1159" s="111">
        <v>0</v>
      </c>
      <c r="J1159" s="111">
        <v>0</v>
      </c>
      <c r="K1159" s="111">
        <v>0</v>
      </c>
      <c r="L1159">
        <v>1</v>
      </c>
    </row>
    <row r="1160" spans="1:12" x14ac:dyDescent="0.2">
      <c r="A1160" s="111" t="s">
        <v>1217</v>
      </c>
      <c r="B1160" s="132">
        <v>38</v>
      </c>
      <c r="C1160" s="111">
        <v>180.34</v>
      </c>
      <c r="D1160" s="111">
        <v>70.306759999999997</v>
      </c>
      <c r="E1160" s="111">
        <v>72</v>
      </c>
      <c r="F1160" s="111">
        <v>4</v>
      </c>
      <c r="G1160" s="133">
        <v>0.5</v>
      </c>
      <c r="H1160" s="111">
        <v>36.25</v>
      </c>
      <c r="I1160" s="111">
        <v>2.75</v>
      </c>
      <c r="J1160" s="111">
        <v>0.75</v>
      </c>
      <c r="K1160" s="111">
        <v>1.75</v>
      </c>
      <c r="L1160">
        <v>0</v>
      </c>
    </row>
    <row r="1161" spans="1:12" x14ac:dyDescent="0.2">
      <c r="A1161" s="111" t="s">
        <v>1218</v>
      </c>
      <c r="B1161" s="132" t="s">
        <v>1596</v>
      </c>
      <c r="C1161" s="111">
        <v>180.34</v>
      </c>
      <c r="D1161" s="111">
        <v>92.986360000000005</v>
      </c>
      <c r="E1161" s="111">
        <v>72.837137999999996</v>
      </c>
      <c r="F1161" s="111">
        <v>1</v>
      </c>
      <c r="G1161" s="133">
        <v>0</v>
      </c>
      <c r="H1161" s="111">
        <v>0</v>
      </c>
      <c r="I1161" s="111">
        <v>0</v>
      </c>
      <c r="J1161" s="111">
        <v>0</v>
      </c>
      <c r="K1161" s="111">
        <v>0</v>
      </c>
      <c r="L1161">
        <v>0</v>
      </c>
    </row>
    <row r="1162" spans="1:12" x14ac:dyDescent="0.2">
      <c r="A1162" s="111" t="s">
        <v>1219</v>
      </c>
      <c r="B1162" s="132">
        <v>32</v>
      </c>
      <c r="C1162" s="111">
        <v>180.34</v>
      </c>
      <c r="D1162" s="111">
        <v>83.914519999999996</v>
      </c>
      <c r="E1162" s="111">
        <v>73</v>
      </c>
      <c r="F1162" s="111">
        <v>2</v>
      </c>
      <c r="G1162" s="133">
        <v>0.5</v>
      </c>
      <c r="H1162" s="111">
        <v>40</v>
      </c>
      <c r="I1162" s="111">
        <v>1.5</v>
      </c>
      <c r="J1162" s="111">
        <v>0.5</v>
      </c>
      <c r="K1162" s="111">
        <v>2</v>
      </c>
      <c r="L1162">
        <v>0</v>
      </c>
    </row>
    <row r="1163" spans="1:12" x14ac:dyDescent="0.2">
      <c r="A1163" s="111" t="s">
        <v>1220</v>
      </c>
      <c r="B1163" s="132">
        <v>40</v>
      </c>
      <c r="C1163" s="111">
        <v>182.88</v>
      </c>
      <c r="D1163" s="111">
        <v>77.110640000000004</v>
      </c>
      <c r="E1163" s="111">
        <v>74</v>
      </c>
      <c r="F1163" s="111">
        <v>11</v>
      </c>
      <c r="G1163" s="133">
        <v>0.54545454545454541</v>
      </c>
      <c r="H1163" s="111">
        <v>23.181818181818183</v>
      </c>
      <c r="I1163" s="111">
        <v>2.9090909090909092</v>
      </c>
      <c r="J1163" s="111">
        <v>1</v>
      </c>
      <c r="K1163" s="111">
        <v>2</v>
      </c>
      <c r="L1163">
        <v>0</v>
      </c>
    </row>
    <row r="1164" spans="1:12" x14ac:dyDescent="0.2">
      <c r="A1164" s="111" t="s">
        <v>1221</v>
      </c>
      <c r="B1164" s="132">
        <v>36</v>
      </c>
      <c r="C1164" s="111">
        <v>177.8</v>
      </c>
      <c r="D1164" s="111">
        <v>77.110640000000004</v>
      </c>
      <c r="E1164" s="111">
        <v>76</v>
      </c>
      <c r="F1164" s="111">
        <v>4</v>
      </c>
      <c r="G1164" s="133">
        <v>0</v>
      </c>
      <c r="H1164" s="111">
        <v>23.75</v>
      </c>
      <c r="I1164" s="111">
        <v>0.75</v>
      </c>
      <c r="J1164" s="111">
        <v>0</v>
      </c>
      <c r="K1164" s="111">
        <v>0</v>
      </c>
      <c r="L1164">
        <v>1</v>
      </c>
    </row>
    <row r="1165" spans="1:12" x14ac:dyDescent="0.2">
      <c r="A1165" s="111" t="s">
        <v>1222</v>
      </c>
      <c r="B1165" s="132">
        <v>34</v>
      </c>
      <c r="C1165" s="111">
        <v>172.72</v>
      </c>
      <c r="D1165" s="111">
        <v>65.770840000000007</v>
      </c>
      <c r="E1165" s="111">
        <v>71</v>
      </c>
      <c r="F1165" s="111">
        <v>9</v>
      </c>
      <c r="G1165" s="133">
        <v>0.77777777777777779</v>
      </c>
      <c r="H1165" s="111">
        <v>27.333333333333332</v>
      </c>
      <c r="I1165" s="111">
        <v>1.2222222222222223</v>
      </c>
      <c r="J1165" s="111">
        <v>0.77777777777777779</v>
      </c>
      <c r="K1165" s="111">
        <v>0.55555555555555558</v>
      </c>
      <c r="L1165">
        <v>0</v>
      </c>
    </row>
    <row r="1166" spans="1:12" x14ac:dyDescent="0.2">
      <c r="A1166" s="111" t="s">
        <v>1223</v>
      </c>
      <c r="B1166" s="132">
        <v>38</v>
      </c>
      <c r="C1166" s="111">
        <v>182.88</v>
      </c>
      <c r="D1166" s="111">
        <v>92.986360000000005</v>
      </c>
      <c r="E1166" s="111">
        <v>76</v>
      </c>
      <c r="F1166" s="111">
        <v>3</v>
      </c>
      <c r="G1166" s="133">
        <v>0.33333333333333331</v>
      </c>
      <c r="H1166" s="111">
        <v>6.666666666666667</v>
      </c>
      <c r="I1166" s="111">
        <v>0.33333333333333331</v>
      </c>
      <c r="J1166" s="111">
        <v>0.66666666666666663</v>
      </c>
      <c r="K1166" s="111">
        <v>1.6666666666666667</v>
      </c>
      <c r="L1166">
        <v>0</v>
      </c>
    </row>
    <row r="1167" spans="1:12" x14ac:dyDescent="0.2">
      <c r="A1167" s="111" t="s">
        <v>1224</v>
      </c>
      <c r="B1167" s="132">
        <v>39</v>
      </c>
      <c r="C1167" s="111">
        <v>193.04</v>
      </c>
      <c r="D1167" s="111">
        <v>120.20188</v>
      </c>
      <c r="E1167" s="111">
        <v>77.862527999999998</v>
      </c>
      <c r="F1167" s="111">
        <v>7</v>
      </c>
      <c r="G1167" s="133">
        <v>0.7142857142857143</v>
      </c>
      <c r="H1167" s="111">
        <v>25.428571428571427</v>
      </c>
      <c r="I1167" s="111">
        <v>2.4285714285714284</v>
      </c>
      <c r="J1167" s="111">
        <v>0.8571428571428571</v>
      </c>
      <c r="K1167" s="111">
        <v>3.5714285714285716</v>
      </c>
      <c r="L1167">
        <v>0</v>
      </c>
    </row>
    <row r="1168" spans="1:12" x14ac:dyDescent="0.2">
      <c r="A1168" s="111" t="s">
        <v>1225</v>
      </c>
      <c r="B1168" s="132">
        <v>39</v>
      </c>
      <c r="C1168" s="111">
        <v>177.8</v>
      </c>
      <c r="D1168" s="111">
        <v>77.110640000000004</v>
      </c>
      <c r="E1168" s="111">
        <v>72</v>
      </c>
      <c r="F1168" s="111">
        <v>5</v>
      </c>
      <c r="G1168" s="133">
        <v>0.6</v>
      </c>
      <c r="H1168" s="111">
        <v>27.6</v>
      </c>
      <c r="I1168" s="111">
        <v>0.6</v>
      </c>
      <c r="J1168" s="111">
        <v>0</v>
      </c>
      <c r="K1168" s="111">
        <v>1</v>
      </c>
      <c r="L1168">
        <v>0</v>
      </c>
    </row>
    <row r="1169" spans="1:12" x14ac:dyDescent="0.2">
      <c r="A1169" s="111" t="s">
        <v>1226</v>
      </c>
      <c r="B1169" s="132">
        <v>40</v>
      </c>
      <c r="C1169" s="111">
        <v>175.26</v>
      </c>
      <c r="D1169" s="111">
        <v>70.306759999999997</v>
      </c>
      <c r="E1169" s="111">
        <v>72</v>
      </c>
      <c r="F1169" s="111">
        <v>10</v>
      </c>
      <c r="G1169" s="133">
        <v>0.5</v>
      </c>
      <c r="H1169" s="111">
        <v>17.100000000000001</v>
      </c>
      <c r="I1169" s="111">
        <v>1.4</v>
      </c>
      <c r="J1169" s="111">
        <v>0.8</v>
      </c>
      <c r="K1169" s="111">
        <v>2</v>
      </c>
      <c r="L1169">
        <v>1</v>
      </c>
    </row>
    <row r="1170" spans="1:12" x14ac:dyDescent="0.2">
      <c r="A1170" s="111" t="s">
        <v>1592</v>
      </c>
      <c r="B1170" s="132">
        <v>37</v>
      </c>
      <c r="C1170" s="111">
        <v>170.18</v>
      </c>
      <c r="D1170" s="111">
        <v>70.306759999999997</v>
      </c>
      <c r="E1170" s="111">
        <v>68.816826000000006</v>
      </c>
      <c r="F1170" s="111">
        <v>1</v>
      </c>
      <c r="G1170" s="133">
        <v>0</v>
      </c>
      <c r="H1170" s="111">
        <v>29</v>
      </c>
      <c r="I1170" s="111">
        <v>4</v>
      </c>
      <c r="J1170" s="111">
        <v>0</v>
      </c>
      <c r="K1170" s="111">
        <v>0</v>
      </c>
      <c r="L1170">
        <v>0</v>
      </c>
    </row>
    <row r="1171" spans="1:12" x14ac:dyDescent="0.2">
      <c r="A1171" s="111" t="s">
        <v>1227</v>
      </c>
      <c r="B1171" s="132">
        <v>42</v>
      </c>
      <c r="C1171" s="111">
        <v>185.42</v>
      </c>
      <c r="D1171" s="111">
        <v>83.914519999999996</v>
      </c>
      <c r="E1171" s="111">
        <v>75</v>
      </c>
      <c r="F1171" s="111">
        <v>20</v>
      </c>
      <c r="G1171" s="133">
        <v>0.7</v>
      </c>
      <c r="H1171" s="111">
        <v>42.8</v>
      </c>
      <c r="I1171" s="111">
        <v>0.7</v>
      </c>
      <c r="J1171" s="111">
        <v>0.1</v>
      </c>
      <c r="K1171" s="111">
        <v>1.05</v>
      </c>
      <c r="L1171">
        <v>1</v>
      </c>
    </row>
    <row r="1172" spans="1:12" x14ac:dyDescent="0.2">
      <c r="A1172" s="111" t="s">
        <v>1228</v>
      </c>
      <c r="B1172" s="132">
        <v>28</v>
      </c>
      <c r="C1172" s="111">
        <v>182.88</v>
      </c>
      <c r="D1172" s="111">
        <v>77.110640000000004</v>
      </c>
      <c r="E1172" s="111">
        <v>73</v>
      </c>
      <c r="F1172" s="111">
        <v>4</v>
      </c>
      <c r="G1172" s="133">
        <v>0.5</v>
      </c>
      <c r="H1172" s="111">
        <v>58.25</v>
      </c>
      <c r="I1172" s="111">
        <v>1.25</v>
      </c>
      <c r="J1172" s="111">
        <v>0</v>
      </c>
      <c r="K1172" s="111">
        <v>0.5</v>
      </c>
      <c r="L1172">
        <v>0</v>
      </c>
    </row>
    <row r="1173" spans="1:12" x14ac:dyDescent="0.2">
      <c r="A1173" s="111" t="s">
        <v>1229</v>
      </c>
      <c r="B1173" s="132">
        <v>32</v>
      </c>
      <c r="C1173" s="111">
        <v>187.96</v>
      </c>
      <c r="D1173" s="111">
        <v>83.914519999999996</v>
      </c>
      <c r="E1173" s="111">
        <v>72</v>
      </c>
      <c r="F1173" s="111">
        <v>2</v>
      </c>
      <c r="G1173" s="133">
        <v>0</v>
      </c>
      <c r="H1173" s="111">
        <v>9</v>
      </c>
      <c r="I1173" s="111">
        <v>0</v>
      </c>
      <c r="J1173" s="111">
        <v>0</v>
      </c>
      <c r="K1173" s="111">
        <v>0</v>
      </c>
      <c r="L1173">
        <v>0</v>
      </c>
    </row>
    <row r="1174" spans="1:12" x14ac:dyDescent="0.2">
      <c r="A1174" s="111" t="s">
        <v>1230</v>
      </c>
      <c r="B1174" s="132">
        <v>35</v>
      </c>
      <c r="C1174" s="111">
        <v>172.72</v>
      </c>
      <c r="D1174" s="111">
        <v>77.110640000000004</v>
      </c>
      <c r="E1174" s="111">
        <v>69.821904000000004</v>
      </c>
      <c r="F1174" s="111">
        <v>1</v>
      </c>
      <c r="G1174" s="133">
        <v>0</v>
      </c>
      <c r="H1174" s="111">
        <v>20</v>
      </c>
      <c r="I1174" s="111">
        <v>1</v>
      </c>
      <c r="J1174" s="111">
        <v>0</v>
      </c>
      <c r="K1174" s="111">
        <v>1</v>
      </c>
      <c r="L1174">
        <v>0</v>
      </c>
    </row>
    <row r="1175" spans="1:12" x14ac:dyDescent="0.2">
      <c r="A1175" s="111" t="s">
        <v>1231</v>
      </c>
      <c r="B1175" s="132">
        <v>33</v>
      </c>
      <c r="C1175" s="111">
        <v>167.64</v>
      </c>
      <c r="D1175" s="111">
        <v>56.698999999999998</v>
      </c>
      <c r="E1175" s="111">
        <v>69</v>
      </c>
      <c r="F1175" s="111">
        <v>4</v>
      </c>
      <c r="G1175" s="133">
        <v>0.25</v>
      </c>
      <c r="H1175" s="111">
        <v>41.5</v>
      </c>
      <c r="I1175" s="111">
        <v>2.25</v>
      </c>
      <c r="J1175" s="111">
        <v>0.75</v>
      </c>
      <c r="K1175" s="111">
        <v>2.75</v>
      </c>
      <c r="L1175">
        <v>0</v>
      </c>
    </row>
    <row r="1176" spans="1:12" x14ac:dyDescent="0.2">
      <c r="A1176" s="111" t="s">
        <v>1232</v>
      </c>
      <c r="B1176" s="132" t="s">
        <v>1596</v>
      </c>
      <c r="C1176" s="111">
        <v>175.26</v>
      </c>
      <c r="D1176" s="111">
        <v>70.306759999999997</v>
      </c>
      <c r="E1176" s="111">
        <v>70.826982000000001</v>
      </c>
      <c r="F1176" s="111">
        <v>1</v>
      </c>
      <c r="G1176" s="133">
        <v>0</v>
      </c>
      <c r="H1176" s="111">
        <v>5</v>
      </c>
      <c r="I1176" s="111">
        <v>0</v>
      </c>
      <c r="J1176" s="111">
        <v>0</v>
      </c>
      <c r="K1176" s="111">
        <v>0</v>
      </c>
      <c r="L1176">
        <v>0</v>
      </c>
    </row>
    <row r="1177" spans="1:12" x14ac:dyDescent="0.2">
      <c r="A1177" s="111" t="s">
        <v>1233</v>
      </c>
      <c r="B1177" s="132">
        <v>32</v>
      </c>
      <c r="C1177" s="111">
        <v>175.26</v>
      </c>
      <c r="D1177" s="111">
        <v>77.110640000000004</v>
      </c>
      <c r="E1177" s="111">
        <v>71</v>
      </c>
      <c r="F1177" s="111">
        <v>17</v>
      </c>
      <c r="G1177" s="133">
        <v>0.6470588235294118</v>
      </c>
      <c r="H1177" s="111">
        <v>48.588235294117645</v>
      </c>
      <c r="I1177" s="111">
        <v>2.2941176470588234</v>
      </c>
      <c r="J1177" s="111">
        <v>0.82352941176470584</v>
      </c>
      <c r="K1177" s="111">
        <v>1.6470588235294117</v>
      </c>
      <c r="L1177">
        <v>1</v>
      </c>
    </row>
    <row r="1178" spans="1:12" x14ac:dyDescent="0.2">
      <c r="A1178" s="111" t="s">
        <v>1234</v>
      </c>
      <c r="B1178" s="132">
        <v>35</v>
      </c>
      <c r="C1178" s="111">
        <v>182.88</v>
      </c>
      <c r="D1178" s="111">
        <v>83.914519999999996</v>
      </c>
      <c r="E1178" s="111">
        <v>73</v>
      </c>
      <c r="F1178" s="111">
        <v>5</v>
      </c>
      <c r="G1178" s="133">
        <v>0.4</v>
      </c>
      <c r="H1178" s="111">
        <v>70</v>
      </c>
      <c r="I1178" s="111">
        <v>2.6</v>
      </c>
      <c r="J1178" s="111">
        <v>0</v>
      </c>
      <c r="K1178" s="111">
        <v>1</v>
      </c>
      <c r="L1178">
        <v>1</v>
      </c>
    </row>
    <row r="1179" spans="1:12" x14ac:dyDescent="0.2">
      <c r="A1179" s="111" t="s">
        <v>1235</v>
      </c>
      <c r="B1179" s="132">
        <v>30</v>
      </c>
      <c r="C1179" s="111">
        <v>154.94</v>
      </c>
      <c r="D1179" s="111">
        <v>61.234920000000002</v>
      </c>
      <c r="E1179" s="111">
        <v>60</v>
      </c>
      <c r="F1179" s="111">
        <v>1</v>
      </c>
      <c r="G1179" s="133">
        <v>0</v>
      </c>
      <c r="H1179" s="111">
        <v>16</v>
      </c>
      <c r="I1179" s="111">
        <v>3</v>
      </c>
      <c r="J1179" s="111">
        <v>0</v>
      </c>
      <c r="K1179" s="111">
        <v>2</v>
      </c>
      <c r="L1179">
        <v>0</v>
      </c>
    </row>
    <row r="1180" spans="1:12" x14ac:dyDescent="0.2">
      <c r="A1180" s="111" t="s">
        <v>1236</v>
      </c>
      <c r="B1180" s="132">
        <v>38</v>
      </c>
      <c r="C1180" s="111">
        <v>180.34</v>
      </c>
      <c r="D1180" s="111">
        <v>83.914519999999996</v>
      </c>
      <c r="E1180" s="111">
        <v>74</v>
      </c>
      <c r="F1180" s="111">
        <v>7</v>
      </c>
      <c r="G1180" s="133">
        <v>0.42857142857142855</v>
      </c>
      <c r="H1180" s="111">
        <v>11.571428571428571</v>
      </c>
      <c r="I1180" s="111">
        <v>2.2857142857142856</v>
      </c>
      <c r="J1180" s="111">
        <v>1.2857142857142858</v>
      </c>
      <c r="K1180" s="111">
        <v>2.8571428571428572</v>
      </c>
      <c r="L1180">
        <v>0</v>
      </c>
    </row>
    <row r="1181" spans="1:12" x14ac:dyDescent="0.2">
      <c r="A1181" s="111" t="s">
        <v>1237</v>
      </c>
      <c r="B1181" s="132">
        <v>33</v>
      </c>
      <c r="C1181" s="111">
        <v>187.96</v>
      </c>
      <c r="D1181" s="111">
        <v>120.20188</v>
      </c>
      <c r="E1181" s="111">
        <v>74</v>
      </c>
      <c r="F1181" s="111">
        <v>3</v>
      </c>
      <c r="G1181" s="133">
        <v>0.33333333333333331</v>
      </c>
      <c r="H1181" s="111">
        <v>39.333333333333336</v>
      </c>
      <c r="I1181" s="111">
        <v>0</v>
      </c>
      <c r="J1181" s="111">
        <v>3</v>
      </c>
      <c r="K1181" s="111">
        <v>1.6666666666666667</v>
      </c>
      <c r="L1181">
        <v>0</v>
      </c>
    </row>
    <row r="1182" spans="1:12" x14ac:dyDescent="0.2">
      <c r="A1182" s="111" t="s">
        <v>1238</v>
      </c>
      <c r="B1182" s="132">
        <v>29</v>
      </c>
      <c r="C1182" s="111">
        <v>172.72</v>
      </c>
      <c r="D1182" s="111">
        <v>61.234920000000002</v>
      </c>
      <c r="E1182" s="111">
        <v>71</v>
      </c>
      <c r="F1182" s="111">
        <v>2</v>
      </c>
      <c r="G1182" s="133">
        <v>1</v>
      </c>
      <c r="H1182" s="111">
        <v>32</v>
      </c>
      <c r="I1182" s="111">
        <v>0.5</v>
      </c>
      <c r="J1182" s="111">
        <v>0</v>
      </c>
      <c r="K1182" s="111">
        <v>0</v>
      </c>
      <c r="L1182">
        <v>0</v>
      </c>
    </row>
    <row r="1183" spans="1:12" x14ac:dyDescent="0.2">
      <c r="A1183" s="111" t="s">
        <v>1239</v>
      </c>
      <c r="B1183" s="132">
        <v>35</v>
      </c>
      <c r="C1183" s="111">
        <v>177.8</v>
      </c>
      <c r="D1183" s="111">
        <v>83.914519999999996</v>
      </c>
      <c r="E1183" s="111">
        <v>73</v>
      </c>
      <c r="F1183" s="111">
        <v>7</v>
      </c>
      <c r="G1183" s="133">
        <v>0.42857142857142855</v>
      </c>
      <c r="H1183" s="111">
        <v>13.428571428571429</v>
      </c>
      <c r="I1183" s="111">
        <v>1</v>
      </c>
      <c r="J1183" s="111">
        <v>1.1428571428571428</v>
      </c>
      <c r="K1183" s="111">
        <v>0.8571428571428571</v>
      </c>
      <c r="L1183">
        <v>0</v>
      </c>
    </row>
    <row r="1184" spans="1:12" x14ac:dyDescent="0.2">
      <c r="A1184" s="111" t="s">
        <v>1240</v>
      </c>
      <c r="B1184" s="132" t="s">
        <v>1596</v>
      </c>
      <c r="C1184" s="111">
        <v>190.5</v>
      </c>
      <c r="D1184" s="111">
        <v>92.986360000000005</v>
      </c>
      <c r="E1184" s="111">
        <v>78</v>
      </c>
      <c r="F1184" s="111">
        <v>3</v>
      </c>
      <c r="G1184" s="133">
        <v>0.33333333333333331</v>
      </c>
      <c r="H1184" s="111">
        <v>5</v>
      </c>
      <c r="I1184" s="111">
        <v>1.3333333333333333</v>
      </c>
      <c r="J1184" s="111">
        <v>1</v>
      </c>
      <c r="K1184" s="111">
        <v>1</v>
      </c>
      <c r="L1184">
        <v>0</v>
      </c>
    </row>
    <row r="1185" spans="1:12" x14ac:dyDescent="0.2">
      <c r="A1185" s="111" t="s">
        <v>1241</v>
      </c>
      <c r="B1185" s="132">
        <v>36</v>
      </c>
      <c r="C1185" s="111">
        <v>185.42</v>
      </c>
      <c r="D1185" s="111">
        <v>83.914519999999996</v>
      </c>
      <c r="E1185" s="111">
        <v>74.847294000000005</v>
      </c>
      <c r="F1185" s="111">
        <v>2</v>
      </c>
      <c r="G1185" s="133">
        <v>0</v>
      </c>
      <c r="H1185" s="111">
        <v>3.5</v>
      </c>
      <c r="I1185" s="111">
        <v>0.5</v>
      </c>
      <c r="J1185" s="111">
        <v>0</v>
      </c>
      <c r="K1185" s="111">
        <v>0</v>
      </c>
      <c r="L1185">
        <v>0</v>
      </c>
    </row>
    <row r="1186" spans="1:12" x14ac:dyDescent="0.2">
      <c r="A1186" s="111" t="s">
        <v>1242</v>
      </c>
      <c r="B1186" s="132">
        <v>34</v>
      </c>
      <c r="C1186" s="111">
        <v>180.34</v>
      </c>
      <c r="D1186" s="111">
        <v>77.110640000000004</v>
      </c>
      <c r="E1186" s="111">
        <v>74</v>
      </c>
      <c r="F1186" s="111">
        <v>16</v>
      </c>
      <c r="G1186" s="133">
        <v>0.75</v>
      </c>
      <c r="H1186" s="111">
        <v>51.125</v>
      </c>
      <c r="I1186" s="111">
        <v>1</v>
      </c>
      <c r="J1186" s="111">
        <v>0</v>
      </c>
      <c r="K1186" s="111">
        <v>0.6875</v>
      </c>
      <c r="L1186">
        <v>1</v>
      </c>
    </row>
    <row r="1187" spans="1:12" x14ac:dyDescent="0.2">
      <c r="A1187" s="111" t="s">
        <v>1568</v>
      </c>
      <c r="B1187" s="132">
        <v>30</v>
      </c>
      <c r="C1187" s="111">
        <v>172.72</v>
      </c>
      <c r="D1187" s="111">
        <v>65.770840000000007</v>
      </c>
      <c r="E1187" s="111">
        <v>71</v>
      </c>
      <c r="F1187" s="111">
        <v>8</v>
      </c>
      <c r="G1187" s="133">
        <v>0.5</v>
      </c>
      <c r="H1187" s="111">
        <v>39.125</v>
      </c>
      <c r="I1187" s="111">
        <v>0.625</v>
      </c>
      <c r="J1187" s="111">
        <v>0</v>
      </c>
      <c r="K1187" s="111">
        <v>0.25</v>
      </c>
      <c r="L1187">
        <v>0</v>
      </c>
    </row>
    <row r="1188" spans="1:12" x14ac:dyDescent="0.2">
      <c r="A1188" s="111" t="s">
        <v>1243</v>
      </c>
      <c r="B1188" s="132">
        <v>35</v>
      </c>
      <c r="C1188" s="111">
        <v>190.5</v>
      </c>
      <c r="D1188" s="111">
        <v>92.986360000000005</v>
      </c>
      <c r="E1188" s="111">
        <v>78</v>
      </c>
      <c r="F1188" s="111">
        <v>1</v>
      </c>
      <c r="G1188" s="133">
        <v>0</v>
      </c>
      <c r="H1188" s="111">
        <v>0</v>
      </c>
      <c r="I1188" s="111">
        <v>1</v>
      </c>
      <c r="J1188" s="111">
        <v>3</v>
      </c>
      <c r="K1188" s="111">
        <v>1</v>
      </c>
      <c r="L1188">
        <v>0</v>
      </c>
    </row>
    <row r="1189" spans="1:12" x14ac:dyDescent="0.2">
      <c r="A1189" s="111" t="s">
        <v>1244</v>
      </c>
      <c r="B1189" s="132">
        <v>35</v>
      </c>
      <c r="C1189" s="111">
        <v>175.26</v>
      </c>
      <c r="D1189" s="111">
        <v>70.306759999999997</v>
      </c>
      <c r="E1189" s="111">
        <v>70</v>
      </c>
      <c r="F1189" s="111">
        <v>7</v>
      </c>
      <c r="G1189" s="133">
        <v>0.42857142857142855</v>
      </c>
      <c r="H1189" s="111">
        <v>26.428571428571427</v>
      </c>
      <c r="I1189" s="111">
        <v>1.4285714285714286</v>
      </c>
      <c r="J1189" s="111">
        <v>0.2857142857142857</v>
      </c>
      <c r="K1189" s="111">
        <v>0.14285714285714285</v>
      </c>
      <c r="L1189">
        <v>0</v>
      </c>
    </row>
    <row r="1190" spans="1:12" x14ac:dyDescent="0.2">
      <c r="A1190" s="111" t="s">
        <v>1245</v>
      </c>
      <c r="B1190" s="132" t="s">
        <v>1596</v>
      </c>
      <c r="C1190" s="111">
        <v>187.96</v>
      </c>
      <c r="D1190" s="111">
        <v>111.13003999999999</v>
      </c>
      <c r="E1190" s="111">
        <v>75.852372000000003</v>
      </c>
      <c r="F1190" s="111">
        <v>1</v>
      </c>
      <c r="G1190" s="133">
        <v>0</v>
      </c>
      <c r="H1190" s="111">
        <v>2</v>
      </c>
      <c r="I1190" s="111">
        <v>1</v>
      </c>
      <c r="J1190" s="111">
        <v>1</v>
      </c>
      <c r="K1190" s="111">
        <v>0</v>
      </c>
      <c r="L1190">
        <v>0</v>
      </c>
    </row>
    <row r="1191" spans="1:12" x14ac:dyDescent="0.2">
      <c r="A1191" s="111" t="s">
        <v>1246</v>
      </c>
      <c r="B1191" s="132">
        <v>33</v>
      </c>
      <c r="C1191" s="111">
        <v>175.26</v>
      </c>
      <c r="D1191" s="111">
        <v>65.770840000000007</v>
      </c>
      <c r="E1191" s="111">
        <v>69</v>
      </c>
      <c r="F1191" s="111">
        <v>4</v>
      </c>
      <c r="G1191" s="133">
        <v>0.5</v>
      </c>
      <c r="H1191" s="111">
        <v>21</v>
      </c>
      <c r="I1191" s="111">
        <v>1.5</v>
      </c>
      <c r="J1191" s="111">
        <v>0</v>
      </c>
      <c r="K1191" s="111">
        <v>1.25</v>
      </c>
      <c r="L1191">
        <v>1</v>
      </c>
    </row>
    <row r="1192" spans="1:12" x14ac:dyDescent="0.2">
      <c r="A1192" s="111" t="s">
        <v>1247</v>
      </c>
      <c r="B1192" s="132">
        <v>26</v>
      </c>
      <c r="C1192" s="111">
        <v>182.88</v>
      </c>
      <c r="D1192" s="111">
        <v>83.914519999999996</v>
      </c>
      <c r="E1192" s="111">
        <v>73</v>
      </c>
      <c r="F1192" s="111">
        <v>8</v>
      </c>
      <c r="G1192" s="133">
        <v>0.75</v>
      </c>
      <c r="H1192" s="111">
        <v>49.375</v>
      </c>
      <c r="I1192" s="111">
        <v>0.5</v>
      </c>
      <c r="J1192" s="111">
        <v>0</v>
      </c>
      <c r="K1192" s="111">
        <v>1.125</v>
      </c>
      <c r="L1192">
        <v>0</v>
      </c>
    </row>
    <row r="1193" spans="1:12" x14ac:dyDescent="0.2">
      <c r="A1193" s="111" t="s">
        <v>1248</v>
      </c>
      <c r="B1193" s="132">
        <v>48</v>
      </c>
      <c r="C1193" s="111">
        <v>190.5</v>
      </c>
      <c r="D1193" s="111">
        <v>102.965384</v>
      </c>
      <c r="E1193" s="111">
        <v>76.85745</v>
      </c>
      <c r="F1193" s="111">
        <v>1</v>
      </c>
      <c r="G1193" s="133">
        <v>0</v>
      </c>
      <c r="H1193" s="111">
        <v>1</v>
      </c>
      <c r="I1193" s="111">
        <v>0</v>
      </c>
      <c r="J1193" s="111">
        <v>0</v>
      </c>
      <c r="K1193" s="111">
        <v>0</v>
      </c>
      <c r="L1193">
        <v>0</v>
      </c>
    </row>
    <row r="1194" spans="1:12" x14ac:dyDescent="0.2">
      <c r="A1194" s="111" t="s">
        <v>1249</v>
      </c>
      <c r="B1194" s="132">
        <v>29</v>
      </c>
      <c r="C1194" s="111">
        <v>175.26</v>
      </c>
      <c r="D1194" s="111">
        <v>65.770840000000007</v>
      </c>
      <c r="E1194" s="111">
        <v>68</v>
      </c>
      <c r="F1194" s="111">
        <v>1</v>
      </c>
      <c r="G1194" s="133">
        <v>0</v>
      </c>
      <c r="H1194" s="111">
        <v>37</v>
      </c>
      <c r="I1194" s="111">
        <v>1</v>
      </c>
      <c r="J1194" s="111">
        <v>0</v>
      </c>
      <c r="K1194" s="111">
        <v>0</v>
      </c>
      <c r="L1194">
        <v>0</v>
      </c>
    </row>
    <row r="1195" spans="1:12" x14ac:dyDescent="0.2">
      <c r="A1195" s="111" t="s">
        <v>1250</v>
      </c>
      <c r="B1195" s="132">
        <v>35</v>
      </c>
      <c r="C1195" s="111">
        <v>175.26</v>
      </c>
      <c r="D1195" s="111">
        <v>92.986360000000005</v>
      </c>
      <c r="E1195" s="111">
        <v>72</v>
      </c>
      <c r="F1195" s="111">
        <v>3</v>
      </c>
      <c r="G1195" s="133">
        <v>0</v>
      </c>
      <c r="H1195" s="111">
        <v>17</v>
      </c>
      <c r="I1195" s="111">
        <v>6</v>
      </c>
      <c r="J1195" s="111">
        <v>1</v>
      </c>
      <c r="K1195" s="111">
        <v>1.3333333333333333</v>
      </c>
      <c r="L1195">
        <v>0</v>
      </c>
    </row>
    <row r="1196" spans="1:12" x14ac:dyDescent="0.2">
      <c r="A1196" s="111" t="s">
        <v>1574</v>
      </c>
      <c r="B1196" s="132">
        <v>29</v>
      </c>
      <c r="F1196" s="111">
        <v>1</v>
      </c>
      <c r="G1196" s="133">
        <v>0</v>
      </c>
      <c r="H1196" s="111">
        <v>17</v>
      </c>
      <c r="I1196" s="111">
        <v>2</v>
      </c>
      <c r="J1196" s="111">
        <v>0</v>
      </c>
      <c r="K1196" s="111">
        <v>6</v>
      </c>
      <c r="L1196">
        <v>0</v>
      </c>
    </row>
    <row r="1197" spans="1:12" x14ac:dyDescent="0.2">
      <c r="A1197" s="111" t="s">
        <v>1251</v>
      </c>
      <c r="B1197" s="132">
        <v>36</v>
      </c>
      <c r="C1197" s="111">
        <v>170.18</v>
      </c>
      <c r="D1197" s="111">
        <v>70.306759999999997</v>
      </c>
      <c r="E1197" s="111">
        <v>71</v>
      </c>
      <c r="F1197" s="111">
        <v>7</v>
      </c>
      <c r="G1197" s="133">
        <v>0.42857142857142855</v>
      </c>
      <c r="H1197" s="111">
        <v>49.428571428571431</v>
      </c>
      <c r="I1197" s="111">
        <v>0.42857142857142855</v>
      </c>
      <c r="J1197" s="111">
        <v>0.2857142857142857</v>
      </c>
      <c r="K1197" s="111">
        <v>0.14285714285714285</v>
      </c>
      <c r="L1197">
        <v>0</v>
      </c>
    </row>
    <row r="1198" spans="1:12" x14ac:dyDescent="0.2">
      <c r="A1198" s="111" t="s">
        <v>1252</v>
      </c>
      <c r="B1198" s="132">
        <v>25</v>
      </c>
      <c r="C1198" s="111">
        <v>170.18</v>
      </c>
      <c r="D1198" s="111">
        <v>70.306759999999997</v>
      </c>
      <c r="E1198" s="111">
        <v>75</v>
      </c>
      <c r="F1198" s="111">
        <v>2</v>
      </c>
      <c r="G1198" s="133">
        <v>0</v>
      </c>
      <c r="H1198" s="111">
        <v>14.5</v>
      </c>
      <c r="I1198" s="111">
        <v>2</v>
      </c>
      <c r="J1198" s="111">
        <v>1</v>
      </c>
      <c r="K1198" s="111">
        <v>3</v>
      </c>
      <c r="L1198">
        <v>0</v>
      </c>
    </row>
    <row r="1199" spans="1:12" x14ac:dyDescent="0.2">
      <c r="A1199" s="111" t="s">
        <v>1253</v>
      </c>
      <c r="B1199" s="132" t="s">
        <v>1596</v>
      </c>
      <c r="C1199" s="111">
        <v>177.8</v>
      </c>
      <c r="D1199" s="111">
        <v>83.914519999999996</v>
      </c>
      <c r="E1199" s="111">
        <v>71.832059999999998</v>
      </c>
      <c r="F1199" s="111">
        <v>1</v>
      </c>
      <c r="G1199" s="133">
        <v>0</v>
      </c>
      <c r="H1199" s="111">
        <v>11</v>
      </c>
      <c r="I1199" s="111">
        <v>0</v>
      </c>
      <c r="J1199" s="111">
        <v>0</v>
      </c>
      <c r="K1199" s="111">
        <v>0</v>
      </c>
      <c r="L1199">
        <v>0</v>
      </c>
    </row>
    <row r="1200" spans="1:12" x14ac:dyDescent="0.2">
      <c r="A1200" s="111" t="s">
        <v>1254</v>
      </c>
      <c r="B1200" s="132">
        <v>34</v>
      </c>
      <c r="C1200" s="111">
        <v>175.26</v>
      </c>
      <c r="D1200" s="111">
        <v>70.306759999999997</v>
      </c>
      <c r="E1200" s="111">
        <v>68</v>
      </c>
      <c r="F1200" s="111">
        <v>3</v>
      </c>
      <c r="G1200" s="133">
        <v>0</v>
      </c>
      <c r="H1200" s="111">
        <v>26.333333333333332</v>
      </c>
      <c r="I1200" s="111">
        <v>1.6666666666666667</v>
      </c>
      <c r="J1200" s="111">
        <v>1</v>
      </c>
      <c r="K1200" s="111">
        <v>0</v>
      </c>
      <c r="L1200">
        <v>0</v>
      </c>
    </row>
    <row r="1201" spans="1:12" x14ac:dyDescent="0.2">
      <c r="A1201" s="111" t="s">
        <v>1255</v>
      </c>
      <c r="B1201" s="132">
        <v>35</v>
      </c>
      <c r="C1201" s="111">
        <v>193.04</v>
      </c>
      <c r="D1201" s="111">
        <v>83.914519999999996</v>
      </c>
      <c r="E1201" s="111">
        <v>79</v>
      </c>
      <c r="F1201" s="111">
        <v>1</v>
      </c>
      <c r="G1201" s="133">
        <v>0</v>
      </c>
      <c r="H1201" s="111">
        <v>12</v>
      </c>
      <c r="I1201" s="111">
        <v>2</v>
      </c>
      <c r="J1201" s="111">
        <v>0</v>
      </c>
      <c r="K1201" s="111">
        <v>1</v>
      </c>
      <c r="L1201">
        <v>0</v>
      </c>
    </row>
    <row r="1202" spans="1:12" x14ac:dyDescent="0.2">
      <c r="A1202" s="111" t="s">
        <v>1256</v>
      </c>
      <c r="B1202" s="132">
        <v>38</v>
      </c>
      <c r="C1202" s="111">
        <v>180.34</v>
      </c>
      <c r="D1202" s="111">
        <v>92.986360000000005</v>
      </c>
      <c r="E1202" s="111">
        <v>70</v>
      </c>
      <c r="F1202" s="111">
        <v>2</v>
      </c>
      <c r="G1202" s="133">
        <v>0</v>
      </c>
      <c r="H1202" s="111">
        <v>27.5</v>
      </c>
      <c r="I1202" s="111">
        <v>1</v>
      </c>
      <c r="J1202" s="111">
        <v>0</v>
      </c>
      <c r="K1202" s="111">
        <v>1</v>
      </c>
      <c r="L1202">
        <v>0</v>
      </c>
    </row>
    <row r="1203" spans="1:12" x14ac:dyDescent="0.2">
      <c r="A1203" s="111" t="s">
        <v>1257</v>
      </c>
      <c r="B1203" s="132">
        <v>33</v>
      </c>
      <c r="C1203" s="111">
        <v>175.26</v>
      </c>
      <c r="D1203" s="111">
        <v>70.306759999999997</v>
      </c>
      <c r="E1203" s="111">
        <v>70</v>
      </c>
      <c r="F1203" s="111">
        <v>8</v>
      </c>
      <c r="G1203" s="133">
        <v>0.75</v>
      </c>
      <c r="H1203" s="111">
        <v>41.625</v>
      </c>
      <c r="I1203" s="111">
        <v>1.625</v>
      </c>
      <c r="J1203" s="111">
        <v>0.375</v>
      </c>
      <c r="K1203" s="111">
        <v>3.25</v>
      </c>
      <c r="L1203">
        <v>0</v>
      </c>
    </row>
    <row r="1204" spans="1:12" x14ac:dyDescent="0.2">
      <c r="A1204" s="111" t="s">
        <v>1258</v>
      </c>
      <c r="B1204" s="132">
        <v>33</v>
      </c>
      <c r="C1204" s="111">
        <v>190.5</v>
      </c>
      <c r="D1204" s="111">
        <v>83.914519999999996</v>
      </c>
      <c r="E1204" s="111">
        <v>79</v>
      </c>
      <c r="F1204" s="111">
        <v>3</v>
      </c>
      <c r="G1204" s="133">
        <v>0.33333333333333331</v>
      </c>
      <c r="H1204" s="111">
        <v>22.333333333333332</v>
      </c>
      <c r="I1204" s="111">
        <v>0</v>
      </c>
      <c r="J1204" s="111">
        <v>0.66666666666666663</v>
      </c>
      <c r="K1204" s="111">
        <v>0.66666666666666663</v>
      </c>
      <c r="L1204">
        <v>1</v>
      </c>
    </row>
    <row r="1205" spans="1:12" x14ac:dyDescent="0.2">
      <c r="A1205" s="111" t="s">
        <v>1259</v>
      </c>
      <c r="B1205" s="132" t="s">
        <v>1596</v>
      </c>
      <c r="C1205" s="111">
        <v>180.34</v>
      </c>
      <c r="D1205" s="111">
        <v>77.110640000000004</v>
      </c>
      <c r="E1205" s="111">
        <v>74</v>
      </c>
      <c r="F1205" s="111">
        <v>1</v>
      </c>
      <c r="G1205" s="133">
        <v>0</v>
      </c>
      <c r="H1205" s="111">
        <v>28</v>
      </c>
      <c r="I1205" s="111">
        <v>0</v>
      </c>
      <c r="J1205" s="111">
        <v>1</v>
      </c>
      <c r="K1205" s="111">
        <v>0</v>
      </c>
      <c r="L1205">
        <v>1</v>
      </c>
    </row>
    <row r="1206" spans="1:12" x14ac:dyDescent="0.2">
      <c r="A1206" s="111" t="s">
        <v>1260</v>
      </c>
      <c r="B1206" s="132">
        <v>33</v>
      </c>
      <c r="C1206" s="111">
        <v>175.26</v>
      </c>
      <c r="D1206" s="111">
        <v>61.234920000000002</v>
      </c>
      <c r="E1206" s="111">
        <v>71</v>
      </c>
      <c r="F1206" s="111">
        <v>7</v>
      </c>
      <c r="G1206" s="133">
        <v>0.42857142857142855</v>
      </c>
      <c r="H1206" s="111">
        <v>26.571428571428573</v>
      </c>
      <c r="I1206" s="111">
        <v>1.5714285714285714</v>
      </c>
      <c r="J1206" s="111">
        <v>1</v>
      </c>
      <c r="K1206" s="111">
        <v>2.8571428571428572</v>
      </c>
      <c r="L1206">
        <v>0</v>
      </c>
    </row>
    <row r="1207" spans="1:12" x14ac:dyDescent="0.2">
      <c r="A1207" s="111" t="s">
        <v>1261</v>
      </c>
      <c r="B1207" s="132">
        <v>52</v>
      </c>
      <c r="C1207" s="111">
        <v>175.26</v>
      </c>
      <c r="D1207" s="111">
        <v>92.986360000000005</v>
      </c>
      <c r="E1207" s="111">
        <v>70.826982000000001</v>
      </c>
      <c r="F1207" s="111">
        <v>1</v>
      </c>
      <c r="G1207" s="133">
        <v>0</v>
      </c>
      <c r="H1207" s="111">
        <v>3</v>
      </c>
      <c r="I1207" s="111">
        <v>1</v>
      </c>
      <c r="J1207" s="111">
        <v>0</v>
      </c>
      <c r="K1207" s="111">
        <v>1</v>
      </c>
      <c r="L1207">
        <v>0</v>
      </c>
    </row>
    <row r="1208" spans="1:12" x14ac:dyDescent="0.2">
      <c r="A1208" s="111" t="s">
        <v>1262</v>
      </c>
      <c r="B1208" s="132">
        <v>26</v>
      </c>
      <c r="C1208" s="111">
        <v>162.56</v>
      </c>
      <c r="D1208" s="111">
        <v>56.698999999999998</v>
      </c>
      <c r="E1208" s="111">
        <v>65</v>
      </c>
      <c r="F1208" s="111">
        <v>2</v>
      </c>
      <c r="G1208" s="133">
        <v>0</v>
      </c>
      <c r="H1208" s="111">
        <v>31.5</v>
      </c>
      <c r="I1208" s="111">
        <v>1.5</v>
      </c>
      <c r="J1208" s="111">
        <v>0</v>
      </c>
      <c r="K1208" s="111">
        <v>2</v>
      </c>
      <c r="L1208">
        <v>0</v>
      </c>
    </row>
    <row r="1209" spans="1:12" x14ac:dyDescent="0.2">
      <c r="A1209" s="111" t="s">
        <v>1587</v>
      </c>
      <c r="B1209" s="132">
        <v>35</v>
      </c>
      <c r="C1209" s="111">
        <v>190.5</v>
      </c>
      <c r="D1209" s="111">
        <v>70.306759999999997</v>
      </c>
      <c r="E1209" s="111">
        <v>77</v>
      </c>
      <c r="F1209" s="111">
        <v>3</v>
      </c>
      <c r="G1209" s="133">
        <v>0.33333333333333331</v>
      </c>
      <c r="H1209" s="111">
        <v>13.333333333333334</v>
      </c>
      <c r="I1209" s="111">
        <v>0.66666666666666663</v>
      </c>
      <c r="J1209" s="111">
        <v>2</v>
      </c>
      <c r="K1209" s="111">
        <v>2.3333333333333335</v>
      </c>
      <c r="L1209">
        <v>0</v>
      </c>
    </row>
    <row r="1210" spans="1:12" x14ac:dyDescent="0.2">
      <c r="A1210" s="111" t="s">
        <v>1263</v>
      </c>
      <c r="B1210" s="132">
        <v>38</v>
      </c>
      <c r="C1210" s="111">
        <v>193.04</v>
      </c>
      <c r="D1210" s="111">
        <v>109.76926400000001</v>
      </c>
      <c r="E1210" s="111">
        <v>77.862527999999998</v>
      </c>
      <c r="F1210" s="111">
        <v>1</v>
      </c>
      <c r="G1210" s="133">
        <v>0</v>
      </c>
      <c r="H1210" s="111">
        <v>15</v>
      </c>
      <c r="I1210" s="111">
        <v>1</v>
      </c>
      <c r="J1210" s="111">
        <v>0</v>
      </c>
      <c r="K1210" s="111">
        <v>2</v>
      </c>
      <c r="L1210">
        <v>0</v>
      </c>
    </row>
    <row r="1211" spans="1:12" x14ac:dyDescent="0.2">
      <c r="A1211" s="111" t="s">
        <v>1264</v>
      </c>
      <c r="B1211" s="132">
        <v>38</v>
      </c>
      <c r="C1211" s="111">
        <v>177.8</v>
      </c>
      <c r="D1211" s="111">
        <v>77.110640000000004</v>
      </c>
      <c r="E1211" s="111">
        <v>71.832059999999998</v>
      </c>
      <c r="F1211" s="111">
        <v>2</v>
      </c>
      <c r="G1211" s="133">
        <v>0.5</v>
      </c>
      <c r="H1211" s="111">
        <v>1</v>
      </c>
      <c r="I1211" s="111">
        <v>0.5</v>
      </c>
      <c r="J1211" s="111">
        <v>0.5</v>
      </c>
      <c r="K1211" s="111">
        <v>0</v>
      </c>
      <c r="L1211">
        <v>0</v>
      </c>
    </row>
    <row r="1212" spans="1:12" x14ac:dyDescent="0.2">
      <c r="A1212" s="111" t="s">
        <v>1265</v>
      </c>
      <c r="B1212" s="132">
        <v>28</v>
      </c>
      <c r="C1212" s="111">
        <v>170.18</v>
      </c>
      <c r="D1212" s="111">
        <v>61.234920000000002</v>
      </c>
      <c r="E1212" s="111">
        <v>67</v>
      </c>
      <c r="F1212" s="111">
        <v>3</v>
      </c>
      <c r="G1212" s="133">
        <v>0</v>
      </c>
      <c r="H1212" s="111">
        <v>11</v>
      </c>
      <c r="I1212" s="111">
        <v>0.66666666666666663</v>
      </c>
      <c r="J1212" s="111">
        <v>0</v>
      </c>
      <c r="K1212" s="111">
        <v>0</v>
      </c>
      <c r="L1212">
        <v>0</v>
      </c>
    </row>
    <row r="1213" spans="1:12" x14ac:dyDescent="0.2">
      <c r="A1213" s="111" t="s">
        <v>1266</v>
      </c>
      <c r="B1213" s="132" t="s">
        <v>1596</v>
      </c>
      <c r="C1213" s="111">
        <v>177.8</v>
      </c>
      <c r="D1213" s="111">
        <v>77.110640000000004</v>
      </c>
      <c r="E1213" s="111">
        <v>71.832059999999998</v>
      </c>
      <c r="F1213" s="111">
        <v>1</v>
      </c>
      <c r="G1213" s="133">
        <v>0</v>
      </c>
      <c r="H1213" s="111">
        <v>24</v>
      </c>
      <c r="I1213" s="111">
        <v>2</v>
      </c>
      <c r="J1213" s="111">
        <v>0</v>
      </c>
      <c r="K1213" s="111">
        <v>1</v>
      </c>
      <c r="L1213">
        <v>0</v>
      </c>
    </row>
    <row r="1214" spans="1:12" x14ac:dyDescent="0.2">
      <c r="A1214" s="111" t="s">
        <v>1267</v>
      </c>
      <c r="B1214" s="132" t="s">
        <v>1596</v>
      </c>
      <c r="C1214" s="111">
        <v>175.26</v>
      </c>
      <c r="D1214" s="111">
        <v>92.986360000000005</v>
      </c>
      <c r="E1214" s="111">
        <v>70.826982000000001</v>
      </c>
      <c r="F1214" s="111">
        <v>1</v>
      </c>
      <c r="G1214" s="133">
        <v>0</v>
      </c>
      <c r="H1214" s="111">
        <v>2</v>
      </c>
      <c r="I1214" s="111">
        <v>0</v>
      </c>
      <c r="J1214" s="111">
        <v>0</v>
      </c>
      <c r="K1214" s="111">
        <v>0</v>
      </c>
      <c r="L1214">
        <v>0</v>
      </c>
    </row>
    <row r="1215" spans="1:12" x14ac:dyDescent="0.2">
      <c r="A1215" s="111" t="s">
        <v>1268</v>
      </c>
      <c r="B1215" s="132">
        <v>33</v>
      </c>
      <c r="C1215" s="111">
        <v>187.96</v>
      </c>
      <c r="D1215" s="111">
        <v>77.110640000000004</v>
      </c>
      <c r="E1215" s="111">
        <v>75</v>
      </c>
      <c r="F1215" s="111">
        <v>3</v>
      </c>
      <c r="G1215" s="133">
        <v>0.33333333333333331</v>
      </c>
      <c r="H1215" s="111">
        <v>28</v>
      </c>
      <c r="I1215" s="111">
        <v>0</v>
      </c>
      <c r="J1215" s="111">
        <v>0</v>
      </c>
      <c r="K1215" s="111">
        <v>0.33333333333333331</v>
      </c>
      <c r="L1215">
        <v>1</v>
      </c>
    </row>
    <row r="1216" spans="1:12" x14ac:dyDescent="0.2">
      <c r="A1216" s="111" t="s">
        <v>1269</v>
      </c>
      <c r="B1216" s="132" t="s">
        <v>1596</v>
      </c>
      <c r="C1216" s="111">
        <v>177.8</v>
      </c>
      <c r="D1216" s="111">
        <v>86.182479999999998</v>
      </c>
      <c r="E1216" s="111">
        <v>71.832059999999998</v>
      </c>
      <c r="F1216" s="111">
        <v>1</v>
      </c>
      <c r="G1216" s="133">
        <v>0</v>
      </c>
      <c r="H1216" s="111">
        <v>0</v>
      </c>
      <c r="I1216" s="111">
        <v>0</v>
      </c>
      <c r="J1216" s="111">
        <v>0</v>
      </c>
      <c r="K1216" s="111">
        <v>0</v>
      </c>
      <c r="L1216">
        <v>0</v>
      </c>
    </row>
    <row r="1217" spans="1:12" x14ac:dyDescent="0.2">
      <c r="A1217" s="111" t="s">
        <v>1270</v>
      </c>
      <c r="B1217" s="132">
        <v>51</v>
      </c>
      <c r="C1217" s="111">
        <v>187.96</v>
      </c>
      <c r="D1217" s="111">
        <v>127.00576</v>
      </c>
      <c r="E1217" s="111">
        <v>75.852372000000003</v>
      </c>
      <c r="F1217" s="111">
        <v>4</v>
      </c>
      <c r="G1217" s="133">
        <v>0.5</v>
      </c>
      <c r="H1217" s="111">
        <v>23.25</v>
      </c>
      <c r="I1217" s="111">
        <v>1.5</v>
      </c>
      <c r="J1217" s="111">
        <v>0.75</v>
      </c>
      <c r="K1217" s="111">
        <v>1.75</v>
      </c>
      <c r="L1217">
        <v>0</v>
      </c>
    </row>
    <row r="1218" spans="1:12" x14ac:dyDescent="0.2">
      <c r="A1218" s="111" t="s">
        <v>1271</v>
      </c>
      <c r="B1218" s="132" t="s">
        <v>1596</v>
      </c>
      <c r="C1218" s="111">
        <v>180.34</v>
      </c>
      <c r="D1218" s="111">
        <v>77.110640000000004</v>
      </c>
      <c r="E1218" s="111">
        <v>72.837137999999996</v>
      </c>
      <c r="F1218" s="111">
        <v>1</v>
      </c>
      <c r="G1218" s="133">
        <v>0</v>
      </c>
      <c r="H1218" s="111">
        <v>8</v>
      </c>
      <c r="I1218" s="111">
        <v>1</v>
      </c>
      <c r="J1218" s="111">
        <v>0</v>
      </c>
      <c r="K1218" s="111">
        <v>0</v>
      </c>
      <c r="L1218">
        <v>0</v>
      </c>
    </row>
    <row r="1219" spans="1:12" x14ac:dyDescent="0.2">
      <c r="A1219" s="111" t="s">
        <v>1272</v>
      </c>
      <c r="B1219" s="132">
        <v>37</v>
      </c>
      <c r="C1219" s="111">
        <v>185.42</v>
      </c>
      <c r="D1219" s="111">
        <v>83.914519999999996</v>
      </c>
      <c r="E1219" s="111">
        <v>72</v>
      </c>
      <c r="F1219" s="111">
        <v>6</v>
      </c>
      <c r="G1219" s="133">
        <v>0.83333333333333337</v>
      </c>
      <c r="H1219" s="111">
        <v>20</v>
      </c>
      <c r="I1219" s="111">
        <v>1.5</v>
      </c>
      <c r="J1219" s="111">
        <v>1</v>
      </c>
      <c r="K1219" s="111">
        <v>2.8333333333333335</v>
      </c>
      <c r="L1219">
        <v>0</v>
      </c>
    </row>
    <row r="1220" spans="1:12" x14ac:dyDescent="0.2">
      <c r="A1220" s="111" t="s">
        <v>1273</v>
      </c>
      <c r="B1220" s="132">
        <v>29</v>
      </c>
      <c r="C1220" s="111">
        <v>170.18</v>
      </c>
      <c r="D1220" s="111">
        <v>61.234920000000002</v>
      </c>
      <c r="E1220" s="111">
        <v>68</v>
      </c>
      <c r="F1220" s="111">
        <v>7</v>
      </c>
      <c r="G1220" s="133">
        <v>0.8571428571428571</v>
      </c>
      <c r="H1220" s="111">
        <v>15.857142857142858</v>
      </c>
      <c r="I1220" s="111">
        <v>1.1428571428571428</v>
      </c>
      <c r="J1220" s="111">
        <v>0.7142857142857143</v>
      </c>
      <c r="K1220" s="111">
        <v>1</v>
      </c>
      <c r="L1220">
        <v>0</v>
      </c>
    </row>
    <row r="1221" spans="1:12" x14ac:dyDescent="0.2">
      <c r="A1221" s="111" t="s">
        <v>1274</v>
      </c>
      <c r="B1221" s="132">
        <v>28</v>
      </c>
      <c r="C1221" s="111">
        <v>185.42</v>
      </c>
      <c r="D1221" s="111">
        <v>83.914519999999996</v>
      </c>
      <c r="E1221" s="111">
        <v>75</v>
      </c>
      <c r="F1221" s="111">
        <v>5</v>
      </c>
      <c r="G1221" s="133">
        <v>0.6</v>
      </c>
      <c r="H1221" s="111">
        <v>25</v>
      </c>
      <c r="I1221" s="111">
        <v>2.4</v>
      </c>
      <c r="J1221" s="111">
        <v>0.4</v>
      </c>
      <c r="K1221" s="111">
        <v>2</v>
      </c>
      <c r="L1221">
        <v>0</v>
      </c>
    </row>
    <row r="1222" spans="1:12" x14ac:dyDescent="0.2">
      <c r="A1222" s="111" t="s">
        <v>1275</v>
      </c>
      <c r="B1222" s="132">
        <v>32</v>
      </c>
      <c r="C1222" s="111">
        <v>170.18</v>
      </c>
      <c r="D1222" s="111">
        <v>65.770840000000007</v>
      </c>
      <c r="E1222" s="111">
        <v>70</v>
      </c>
      <c r="F1222" s="111">
        <v>7</v>
      </c>
      <c r="G1222" s="133">
        <v>0.5714285714285714</v>
      </c>
      <c r="H1222" s="111">
        <v>18.285714285714285</v>
      </c>
      <c r="I1222" s="111">
        <v>0.42857142857142855</v>
      </c>
      <c r="J1222" s="111">
        <v>0.5714285714285714</v>
      </c>
      <c r="K1222" s="111">
        <v>0.14285714285714285</v>
      </c>
      <c r="L1222">
        <v>0</v>
      </c>
    </row>
    <row r="1223" spans="1:12" x14ac:dyDescent="0.2">
      <c r="A1223" s="111" t="s">
        <v>1276</v>
      </c>
      <c r="B1223" s="132">
        <v>30</v>
      </c>
      <c r="C1223" s="111">
        <v>170.18</v>
      </c>
      <c r="D1223" s="111">
        <v>70.306759999999997</v>
      </c>
      <c r="E1223" s="111">
        <v>68.816826000000006</v>
      </c>
      <c r="F1223" s="111">
        <v>2</v>
      </c>
      <c r="G1223" s="133">
        <v>0</v>
      </c>
      <c r="H1223" s="111">
        <v>13</v>
      </c>
      <c r="I1223" s="111">
        <v>4</v>
      </c>
      <c r="J1223" s="111">
        <v>0.5</v>
      </c>
      <c r="K1223" s="111">
        <v>3</v>
      </c>
      <c r="L1223">
        <v>0</v>
      </c>
    </row>
    <row r="1224" spans="1:12" x14ac:dyDescent="0.2">
      <c r="A1224" s="111" t="s">
        <v>1277</v>
      </c>
      <c r="B1224" s="132">
        <v>27</v>
      </c>
      <c r="C1224" s="111">
        <v>182.88</v>
      </c>
      <c r="D1224" s="111">
        <v>77.110640000000004</v>
      </c>
      <c r="E1224" s="111">
        <v>76</v>
      </c>
      <c r="F1224" s="111">
        <v>12</v>
      </c>
      <c r="G1224" s="133">
        <v>0.75</v>
      </c>
      <c r="H1224" s="111">
        <v>50.5</v>
      </c>
      <c r="I1224" s="111">
        <v>1.75</v>
      </c>
      <c r="J1224" s="111">
        <v>0.41666666666666669</v>
      </c>
      <c r="K1224" s="111">
        <v>1.1666666666666667</v>
      </c>
      <c r="L1224">
        <v>0</v>
      </c>
    </row>
    <row r="1225" spans="1:12" x14ac:dyDescent="0.2">
      <c r="A1225" s="111" t="s">
        <v>1278</v>
      </c>
      <c r="B1225" s="132">
        <v>34</v>
      </c>
      <c r="C1225" s="111">
        <v>182.88</v>
      </c>
      <c r="D1225" s="111">
        <v>77.110640000000004</v>
      </c>
      <c r="E1225" s="111">
        <v>71</v>
      </c>
      <c r="F1225" s="111">
        <v>3</v>
      </c>
      <c r="G1225" s="133">
        <v>0.33333333333333331</v>
      </c>
      <c r="H1225" s="111">
        <v>3.6666666666666665</v>
      </c>
      <c r="I1225" s="111">
        <v>0</v>
      </c>
      <c r="J1225" s="111">
        <v>0</v>
      </c>
      <c r="K1225" s="111">
        <v>0</v>
      </c>
      <c r="L1225">
        <v>0</v>
      </c>
    </row>
    <row r="1226" spans="1:12" x14ac:dyDescent="0.2">
      <c r="A1226" s="111" t="s">
        <v>1279</v>
      </c>
      <c r="B1226" s="132">
        <v>40</v>
      </c>
      <c r="C1226" s="111">
        <v>187.96</v>
      </c>
      <c r="D1226" s="111">
        <v>83.914519999999996</v>
      </c>
      <c r="E1226" s="111">
        <v>77</v>
      </c>
      <c r="F1226" s="111">
        <v>4</v>
      </c>
      <c r="G1226" s="133">
        <v>0.5</v>
      </c>
      <c r="H1226" s="111">
        <v>24.25</v>
      </c>
      <c r="I1226" s="111">
        <v>0.25</v>
      </c>
      <c r="J1226" s="111">
        <v>0.5</v>
      </c>
      <c r="K1226" s="111">
        <v>0.5</v>
      </c>
      <c r="L1226">
        <v>0</v>
      </c>
    </row>
    <row r="1227" spans="1:12" x14ac:dyDescent="0.2">
      <c r="A1227" s="111" t="s">
        <v>1280</v>
      </c>
      <c r="B1227" s="132">
        <v>24</v>
      </c>
      <c r="C1227" s="111">
        <v>165.1</v>
      </c>
      <c r="D1227" s="111">
        <v>52.163080000000001</v>
      </c>
      <c r="E1227" s="111">
        <v>65</v>
      </c>
      <c r="F1227" s="111">
        <v>3</v>
      </c>
      <c r="G1227" s="133">
        <v>0.66666666666666663</v>
      </c>
      <c r="H1227" s="111">
        <v>32.666666666666664</v>
      </c>
      <c r="I1227" s="111">
        <v>3.3333333333333335</v>
      </c>
      <c r="J1227" s="111">
        <v>1.6666666666666667</v>
      </c>
      <c r="K1227" s="111">
        <v>5.333333333333333</v>
      </c>
      <c r="L1227">
        <v>0</v>
      </c>
    </row>
    <row r="1228" spans="1:12" x14ac:dyDescent="0.2">
      <c r="A1228" s="111" t="s">
        <v>1281</v>
      </c>
      <c r="B1228" s="132">
        <v>39</v>
      </c>
      <c r="C1228" s="111">
        <v>160.02000000000001</v>
      </c>
      <c r="D1228" s="111">
        <v>61.234920000000002</v>
      </c>
      <c r="E1228" s="111">
        <v>63</v>
      </c>
      <c r="F1228" s="111">
        <v>2</v>
      </c>
      <c r="G1228" s="133">
        <v>0</v>
      </c>
      <c r="H1228" s="111">
        <v>61</v>
      </c>
      <c r="I1228" s="111">
        <v>1</v>
      </c>
      <c r="J1228" s="111">
        <v>0</v>
      </c>
      <c r="K1228" s="111">
        <v>0.5</v>
      </c>
      <c r="L1228">
        <v>0</v>
      </c>
    </row>
    <row r="1229" spans="1:12" x14ac:dyDescent="0.2">
      <c r="A1229" s="111" t="s">
        <v>1282</v>
      </c>
      <c r="B1229" s="132">
        <v>32</v>
      </c>
      <c r="C1229" s="111">
        <v>172.72</v>
      </c>
      <c r="D1229" s="111">
        <v>70.306759999999997</v>
      </c>
      <c r="E1229" s="111">
        <v>69</v>
      </c>
      <c r="F1229" s="111">
        <v>18</v>
      </c>
      <c r="G1229" s="133">
        <v>0.55555555555555558</v>
      </c>
      <c r="H1229" s="111">
        <v>40.944444444444443</v>
      </c>
      <c r="I1229" s="111">
        <v>0.72222222222222221</v>
      </c>
      <c r="J1229" s="111">
        <v>0</v>
      </c>
      <c r="K1229" s="111">
        <v>0.16666666666666666</v>
      </c>
      <c r="L1229">
        <v>0</v>
      </c>
    </row>
    <row r="1230" spans="1:12" x14ac:dyDescent="0.2">
      <c r="A1230" s="111" t="s">
        <v>1283</v>
      </c>
      <c r="B1230" s="132" t="s">
        <v>1596</v>
      </c>
      <c r="C1230" s="111">
        <v>172.72</v>
      </c>
      <c r="D1230" s="111">
        <v>77.110640000000004</v>
      </c>
      <c r="E1230" s="111">
        <v>69.821904000000004</v>
      </c>
      <c r="F1230" s="111">
        <v>2</v>
      </c>
      <c r="G1230" s="133">
        <v>0</v>
      </c>
      <c r="H1230" s="111">
        <v>13.5</v>
      </c>
      <c r="I1230" s="111">
        <v>0</v>
      </c>
      <c r="J1230" s="111">
        <v>0</v>
      </c>
      <c r="K1230" s="111">
        <v>0</v>
      </c>
      <c r="L1230">
        <v>0</v>
      </c>
    </row>
    <row r="1231" spans="1:12" x14ac:dyDescent="0.2">
      <c r="A1231" s="111" t="s">
        <v>1284</v>
      </c>
      <c r="B1231" s="132">
        <v>36</v>
      </c>
      <c r="C1231" s="111">
        <v>172.72</v>
      </c>
      <c r="D1231" s="111">
        <v>77.110640000000004</v>
      </c>
      <c r="E1231" s="111">
        <v>71</v>
      </c>
      <c r="F1231" s="111">
        <v>12</v>
      </c>
      <c r="G1231" s="133">
        <v>0.66666666666666663</v>
      </c>
      <c r="H1231" s="111">
        <v>10.916666666666666</v>
      </c>
      <c r="I1231" s="111">
        <v>1.1666666666666667</v>
      </c>
      <c r="J1231" s="111">
        <v>1.3333333333333333</v>
      </c>
      <c r="K1231" s="111">
        <v>1.1666666666666667</v>
      </c>
      <c r="L1231">
        <v>0</v>
      </c>
    </row>
    <row r="1232" spans="1:12" x14ac:dyDescent="0.2">
      <c r="A1232" s="111" t="s">
        <v>1285</v>
      </c>
      <c r="B1232" s="132">
        <v>34</v>
      </c>
      <c r="C1232" s="111">
        <v>167.64</v>
      </c>
      <c r="D1232" s="111">
        <v>61.234920000000002</v>
      </c>
      <c r="E1232" s="111">
        <v>67.811747999999994</v>
      </c>
      <c r="F1232" s="111">
        <v>1</v>
      </c>
      <c r="G1232" s="133">
        <v>0</v>
      </c>
      <c r="H1232" s="111">
        <v>42</v>
      </c>
      <c r="I1232" s="111">
        <v>0</v>
      </c>
      <c r="J1232" s="111">
        <v>0</v>
      </c>
      <c r="K1232" s="111">
        <v>0</v>
      </c>
      <c r="L1232">
        <v>0</v>
      </c>
    </row>
    <row r="1233" spans="1:12" x14ac:dyDescent="0.2">
      <c r="A1233" s="111" t="s">
        <v>1286</v>
      </c>
      <c r="B1233" s="132">
        <v>40</v>
      </c>
      <c r="C1233" s="111">
        <v>182.88</v>
      </c>
      <c r="D1233" s="111">
        <v>119.294696</v>
      </c>
      <c r="E1233" s="111">
        <v>72</v>
      </c>
      <c r="F1233" s="111">
        <v>16</v>
      </c>
      <c r="G1233" s="133">
        <v>0.5</v>
      </c>
      <c r="H1233" s="111">
        <v>22.9375</v>
      </c>
      <c r="I1233" s="111">
        <v>0.5</v>
      </c>
      <c r="J1233" s="111">
        <v>6.25E-2</v>
      </c>
      <c r="K1233" s="111">
        <v>0.4375</v>
      </c>
      <c r="L1233">
        <v>0</v>
      </c>
    </row>
    <row r="1234" spans="1:12" x14ac:dyDescent="0.2">
      <c r="A1234" s="111" t="s">
        <v>1287</v>
      </c>
      <c r="B1234" s="132" t="s">
        <v>1596</v>
      </c>
      <c r="C1234" s="111">
        <v>177.8</v>
      </c>
      <c r="D1234" s="111">
        <v>90.264808000000002</v>
      </c>
      <c r="E1234" s="111">
        <v>71.832059999999998</v>
      </c>
      <c r="F1234" s="111">
        <v>2</v>
      </c>
      <c r="G1234" s="133">
        <v>0</v>
      </c>
      <c r="H1234" s="111">
        <v>7</v>
      </c>
      <c r="I1234" s="111">
        <v>1</v>
      </c>
      <c r="J1234" s="111">
        <v>0</v>
      </c>
      <c r="K1234" s="111">
        <v>1.5</v>
      </c>
      <c r="L1234">
        <v>0</v>
      </c>
    </row>
    <row r="1235" spans="1:12" x14ac:dyDescent="0.2">
      <c r="A1235" s="111" t="s">
        <v>1288</v>
      </c>
      <c r="B1235" s="132">
        <v>50</v>
      </c>
      <c r="C1235" s="111">
        <v>185.42</v>
      </c>
      <c r="D1235" s="111">
        <v>79.378600000000006</v>
      </c>
      <c r="E1235" s="111">
        <v>74.847294000000005</v>
      </c>
      <c r="F1235" s="111">
        <v>13</v>
      </c>
      <c r="G1235" s="133">
        <v>0.84615384615384615</v>
      </c>
      <c r="H1235" s="111">
        <v>2.8461538461538463</v>
      </c>
      <c r="I1235" s="111">
        <v>0.46153846153846156</v>
      </c>
      <c r="J1235" s="111">
        <v>1.0769230769230769</v>
      </c>
      <c r="K1235" s="111">
        <v>1.1538461538461537</v>
      </c>
      <c r="L1235">
        <v>1</v>
      </c>
    </row>
    <row r="1236" spans="1:12" x14ac:dyDescent="0.2">
      <c r="A1236" s="111" t="s">
        <v>1289</v>
      </c>
      <c r="B1236" s="132">
        <v>30</v>
      </c>
      <c r="C1236" s="111">
        <v>170.18</v>
      </c>
      <c r="D1236" s="111">
        <v>61.234920000000002</v>
      </c>
      <c r="E1236" s="111">
        <v>67</v>
      </c>
      <c r="F1236" s="111">
        <v>3</v>
      </c>
      <c r="G1236" s="133">
        <v>0.66666666666666663</v>
      </c>
      <c r="H1236" s="111">
        <v>14.666666666666666</v>
      </c>
      <c r="I1236" s="111">
        <v>3</v>
      </c>
      <c r="J1236" s="111">
        <v>0</v>
      </c>
      <c r="K1236" s="111">
        <v>4.333333333333333</v>
      </c>
      <c r="L1236">
        <v>0</v>
      </c>
    </row>
    <row r="1237" spans="1:12" x14ac:dyDescent="0.2">
      <c r="A1237" s="111" t="s">
        <v>1290</v>
      </c>
      <c r="B1237" s="132">
        <v>38</v>
      </c>
      <c r="C1237" s="111">
        <v>187.96</v>
      </c>
      <c r="D1237" s="111">
        <v>112.03722399999999</v>
      </c>
      <c r="E1237" s="111">
        <v>75</v>
      </c>
      <c r="F1237" s="111">
        <v>3</v>
      </c>
      <c r="G1237" s="133">
        <v>0</v>
      </c>
      <c r="H1237" s="111">
        <v>5.666666666666667</v>
      </c>
      <c r="I1237" s="111">
        <v>0.33333333333333331</v>
      </c>
      <c r="J1237" s="111">
        <v>1</v>
      </c>
      <c r="K1237" s="111">
        <v>0.33333333333333331</v>
      </c>
      <c r="L1237">
        <v>0</v>
      </c>
    </row>
    <row r="1238" spans="1:12" x14ac:dyDescent="0.2">
      <c r="A1238" s="111" t="s">
        <v>1291</v>
      </c>
      <c r="B1238" s="132" t="s">
        <v>1596</v>
      </c>
      <c r="C1238" s="111">
        <v>177.8</v>
      </c>
      <c r="D1238" s="111">
        <v>88.45044</v>
      </c>
      <c r="E1238" s="111">
        <v>71.832059999999998</v>
      </c>
      <c r="F1238" s="111">
        <v>1</v>
      </c>
      <c r="G1238" s="133">
        <v>0</v>
      </c>
      <c r="H1238" s="111">
        <v>0</v>
      </c>
      <c r="I1238" s="111">
        <v>0</v>
      </c>
      <c r="J1238" s="111">
        <v>0</v>
      </c>
      <c r="K1238" s="111">
        <v>0</v>
      </c>
      <c r="L1238">
        <v>0</v>
      </c>
    </row>
    <row r="1239" spans="1:12" x14ac:dyDescent="0.2">
      <c r="A1239" s="111" t="s">
        <v>1292</v>
      </c>
      <c r="B1239" s="132">
        <v>30</v>
      </c>
      <c r="C1239" s="111">
        <v>190.5</v>
      </c>
      <c r="D1239" s="111">
        <v>109.76926400000001</v>
      </c>
      <c r="E1239" s="111">
        <v>78</v>
      </c>
      <c r="F1239" s="111">
        <v>3</v>
      </c>
      <c r="G1239" s="133">
        <v>1</v>
      </c>
      <c r="H1239" s="111">
        <v>60.333333333333336</v>
      </c>
      <c r="I1239" s="111">
        <v>0.33333333333333331</v>
      </c>
      <c r="J1239" s="111">
        <v>0</v>
      </c>
      <c r="K1239" s="111">
        <v>0</v>
      </c>
      <c r="L1239">
        <v>0</v>
      </c>
    </row>
    <row r="1240" spans="1:12" x14ac:dyDescent="0.2">
      <c r="A1240" s="111" t="s">
        <v>1293</v>
      </c>
      <c r="B1240" s="132">
        <v>30</v>
      </c>
      <c r="C1240" s="111">
        <v>170.18</v>
      </c>
      <c r="D1240" s="111">
        <v>61.234920000000002</v>
      </c>
      <c r="E1240" s="111">
        <v>70</v>
      </c>
      <c r="F1240" s="111">
        <v>4</v>
      </c>
      <c r="G1240" s="133">
        <v>0.5</v>
      </c>
      <c r="H1240" s="111">
        <v>23.5</v>
      </c>
      <c r="I1240" s="111">
        <v>2.5</v>
      </c>
      <c r="J1240" s="111">
        <v>1</v>
      </c>
      <c r="K1240" s="111">
        <v>3</v>
      </c>
      <c r="L1240">
        <v>0</v>
      </c>
    </row>
    <row r="1241" spans="1:12" x14ac:dyDescent="0.2">
      <c r="A1241" s="111" t="s">
        <v>1294</v>
      </c>
      <c r="B1241" s="132">
        <v>30</v>
      </c>
      <c r="C1241" s="111">
        <v>172.72</v>
      </c>
      <c r="D1241" s="111">
        <v>70.306759999999997</v>
      </c>
      <c r="E1241" s="111">
        <v>73</v>
      </c>
      <c r="F1241" s="111">
        <v>5</v>
      </c>
      <c r="G1241" s="133">
        <v>0.6</v>
      </c>
      <c r="H1241" s="111">
        <v>16.8</v>
      </c>
      <c r="I1241" s="111">
        <v>2.8</v>
      </c>
      <c r="J1241" s="111">
        <v>0.2</v>
      </c>
      <c r="K1241" s="111">
        <v>0.2</v>
      </c>
      <c r="L1241">
        <v>0</v>
      </c>
    </row>
    <row r="1242" spans="1:12" x14ac:dyDescent="0.2">
      <c r="A1242" s="111" t="s">
        <v>1295</v>
      </c>
      <c r="B1242" s="132">
        <v>33</v>
      </c>
      <c r="C1242" s="111">
        <v>187.96</v>
      </c>
      <c r="D1242" s="111">
        <v>92.986360000000005</v>
      </c>
      <c r="E1242" s="111">
        <v>74</v>
      </c>
      <c r="F1242" s="111">
        <v>18</v>
      </c>
      <c r="G1242" s="133">
        <v>0.72222222222222221</v>
      </c>
      <c r="H1242" s="111">
        <v>26.555555555555557</v>
      </c>
      <c r="I1242" s="111">
        <v>2.2777777777777777</v>
      </c>
      <c r="J1242" s="111">
        <v>0.27777777777777779</v>
      </c>
      <c r="K1242" s="111">
        <v>1.8888888888888888</v>
      </c>
      <c r="L1242">
        <v>0</v>
      </c>
    </row>
    <row r="1243" spans="1:12" x14ac:dyDescent="0.2">
      <c r="A1243" s="111" t="s">
        <v>1296</v>
      </c>
      <c r="B1243" s="132">
        <v>27</v>
      </c>
      <c r="C1243" s="111">
        <v>165.1</v>
      </c>
      <c r="D1243" s="111">
        <v>56.698999999999998</v>
      </c>
      <c r="E1243" s="111">
        <v>68</v>
      </c>
      <c r="F1243" s="111">
        <v>3</v>
      </c>
      <c r="G1243" s="133">
        <v>0.33333333333333331</v>
      </c>
      <c r="H1243" s="111">
        <v>15.666666666666666</v>
      </c>
      <c r="I1243" s="111">
        <v>0.33333333333333331</v>
      </c>
      <c r="J1243" s="111">
        <v>0.33333333333333331</v>
      </c>
      <c r="K1243" s="111">
        <v>0.66666666666666663</v>
      </c>
      <c r="L1243">
        <v>0</v>
      </c>
    </row>
    <row r="1244" spans="1:12" x14ac:dyDescent="0.2">
      <c r="A1244" s="111" t="s">
        <v>1297</v>
      </c>
      <c r="B1244" s="132">
        <v>34</v>
      </c>
      <c r="C1244" s="111">
        <v>177.8</v>
      </c>
      <c r="D1244" s="111">
        <v>70.306759999999997</v>
      </c>
      <c r="E1244" s="111">
        <v>75</v>
      </c>
      <c r="F1244" s="111">
        <v>2</v>
      </c>
      <c r="G1244" s="133">
        <v>0</v>
      </c>
      <c r="H1244" s="111">
        <v>37</v>
      </c>
      <c r="I1244" s="111">
        <v>0.5</v>
      </c>
      <c r="J1244" s="111">
        <v>0</v>
      </c>
      <c r="K1244" s="111">
        <v>0</v>
      </c>
      <c r="L1244">
        <v>0</v>
      </c>
    </row>
    <row r="1245" spans="1:12" x14ac:dyDescent="0.2">
      <c r="A1245" s="111" t="s">
        <v>1298</v>
      </c>
      <c r="B1245" s="132">
        <v>31</v>
      </c>
      <c r="C1245" s="111">
        <v>177.8</v>
      </c>
      <c r="D1245" s="111">
        <v>70.306759999999997</v>
      </c>
      <c r="E1245" s="111">
        <v>71</v>
      </c>
      <c r="F1245" s="111">
        <v>1</v>
      </c>
      <c r="G1245" s="133">
        <v>1</v>
      </c>
      <c r="H1245" s="111">
        <v>23</v>
      </c>
      <c r="I1245" s="111">
        <v>1</v>
      </c>
      <c r="J1245" s="111">
        <v>1</v>
      </c>
      <c r="K1245" s="111">
        <v>1</v>
      </c>
      <c r="L1245">
        <v>0</v>
      </c>
    </row>
    <row r="1246" spans="1:12" x14ac:dyDescent="0.2">
      <c r="A1246" s="111" t="s">
        <v>1299</v>
      </c>
      <c r="B1246" s="132">
        <v>39</v>
      </c>
      <c r="C1246" s="111">
        <v>185.42</v>
      </c>
      <c r="D1246" s="111">
        <v>83.914519999999996</v>
      </c>
      <c r="E1246" s="111">
        <v>76</v>
      </c>
      <c r="F1246" s="111">
        <v>8</v>
      </c>
      <c r="G1246" s="133">
        <v>0.25</v>
      </c>
      <c r="H1246" s="111">
        <v>12.5</v>
      </c>
      <c r="I1246" s="111">
        <v>0.5</v>
      </c>
      <c r="J1246" s="111">
        <v>0.625</v>
      </c>
      <c r="K1246" s="111">
        <v>0.375</v>
      </c>
      <c r="L1246">
        <v>0</v>
      </c>
    </row>
    <row r="1247" spans="1:12" x14ac:dyDescent="0.2">
      <c r="A1247" s="111" t="s">
        <v>1300</v>
      </c>
      <c r="B1247" s="132">
        <v>35</v>
      </c>
      <c r="C1247" s="111">
        <v>185.42</v>
      </c>
      <c r="D1247" s="111">
        <v>92.986360000000005</v>
      </c>
      <c r="E1247" s="111">
        <v>73</v>
      </c>
      <c r="F1247" s="111">
        <v>7</v>
      </c>
      <c r="G1247" s="133">
        <v>0.42857142857142855</v>
      </c>
      <c r="H1247" s="111">
        <v>29.571428571428573</v>
      </c>
      <c r="I1247" s="111">
        <v>0.2857142857142857</v>
      </c>
      <c r="J1247" s="111">
        <v>0</v>
      </c>
      <c r="K1247" s="111">
        <v>0.42857142857142855</v>
      </c>
      <c r="L1247">
        <v>0</v>
      </c>
    </row>
    <row r="1248" spans="1:12" x14ac:dyDescent="0.2">
      <c r="A1248" s="111" t="s">
        <v>1301</v>
      </c>
      <c r="B1248" s="132">
        <v>33</v>
      </c>
      <c r="C1248" s="111">
        <v>185.42</v>
      </c>
      <c r="D1248" s="111">
        <v>77.110640000000004</v>
      </c>
      <c r="E1248" s="111">
        <v>74</v>
      </c>
      <c r="F1248" s="111">
        <v>6</v>
      </c>
      <c r="G1248" s="133">
        <v>0.83333333333333337</v>
      </c>
      <c r="H1248" s="111">
        <v>55.666666666666664</v>
      </c>
      <c r="I1248" s="111">
        <v>3.1666666666666665</v>
      </c>
      <c r="J1248" s="111">
        <v>0.33333333333333331</v>
      </c>
      <c r="K1248" s="111">
        <v>3.3333333333333335</v>
      </c>
      <c r="L1248">
        <v>1</v>
      </c>
    </row>
    <row r="1249" spans="1:12" x14ac:dyDescent="0.2">
      <c r="A1249" s="111" t="s">
        <v>1302</v>
      </c>
      <c r="B1249" s="132" t="s">
        <v>1596</v>
      </c>
      <c r="C1249" s="111">
        <v>182.88</v>
      </c>
      <c r="D1249" s="111">
        <v>77.110640000000004</v>
      </c>
      <c r="E1249" s="111">
        <v>73.842215999999993</v>
      </c>
      <c r="F1249" s="111">
        <v>1</v>
      </c>
      <c r="G1249" s="133">
        <v>0</v>
      </c>
      <c r="H1249" s="111">
        <v>0</v>
      </c>
      <c r="I1249" s="111">
        <v>0</v>
      </c>
      <c r="J1249" s="111">
        <v>0</v>
      </c>
      <c r="K1249" s="111">
        <v>0</v>
      </c>
      <c r="L1249">
        <v>0</v>
      </c>
    </row>
    <row r="1250" spans="1:12" x14ac:dyDescent="0.2">
      <c r="A1250" s="111" t="s">
        <v>1303</v>
      </c>
      <c r="B1250" s="132">
        <v>30</v>
      </c>
      <c r="C1250" s="111">
        <v>180.34</v>
      </c>
      <c r="D1250" s="111">
        <v>77.110640000000004</v>
      </c>
      <c r="E1250" s="111">
        <v>72.837137999999996</v>
      </c>
      <c r="F1250" s="111">
        <v>1</v>
      </c>
      <c r="G1250" s="133">
        <v>0</v>
      </c>
      <c r="H1250" s="111">
        <v>19</v>
      </c>
      <c r="I1250" s="111">
        <v>0</v>
      </c>
      <c r="J1250" s="111">
        <v>0</v>
      </c>
      <c r="K1250" s="111">
        <v>0</v>
      </c>
      <c r="L1250">
        <v>0</v>
      </c>
    </row>
    <row r="1251" spans="1:12" x14ac:dyDescent="0.2">
      <c r="A1251" s="111" t="s">
        <v>1304</v>
      </c>
      <c r="B1251" s="132" t="s">
        <v>1596</v>
      </c>
      <c r="C1251" s="111">
        <v>190.5</v>
      </c>
      <c r="D1251" s="111">
        <v>106.59412</v>
      </c>
      <c r="E1251" s="111">
        <v>76.85745</v>
      </c>
      <c r="F1251" s="111">
        <v>1</v>
      </c>
      <c r="G1251" s="133">
        <v>0</v>
      </c>
      <c r="H1251" s="111">
        <v>0</v>
      </c>
      <c r="I1251" s="111">
        <v>0</v>
      </c>
      <c r="J1251" s="111">
        <v>0</v>
      </c>
      <c r="K1251" s="111">
        <v>0</v>
      </c>
      <c r="L1251">
        <v>1</v>
      </c>
    </row>
    <row r="1252" spans="1:12" x14ac:dyDescent="0.2">
      <c r="A1252" s="111" t="s">
        <v>1305</v>
      </c>
      <c r="B1252" s="132">
        <v>38</v>
      </c>
      <c r="C1252" s="111">
        <v>167.64</v>
      </c>
      <c r="D1252" s="111">
        <v>70.306759999999997</v>
      </c>
      <c r="E1252" s="111">
        <v>67.811747999999994</v>
      </c>
      <c r="F1252" s="111">
        <v>1</v>
      </c>
      <c r="G1252" s="133">
        <v>0</v>
      </c>
      <c r="H1252" s="111">
        <v>0</v>
      </c>
      <c r="I1252" s="111">
        <v>0</v>
      </c>
      <c r="J1252" s="111">
        <v>0</v>
      </c>
      <c r="K1252" s="111">
        <v>0</v>
      </c>
      <c r="L1252">
        <v>0</v>
      </c>
    </row>
    <row r="1253" spans="1:12" x14ac:dyDescent="0.2">
      <c r="A1253" s="111" t="s">
        <v>1306</v>
      </c>
      <c r="B1253" s="132">
        <v>32</v>
      </c>
      <c r="C1253" s="111">
        <v>182.88</v>
      </c>
      <c r="D1253" s="111">
        <v>77.110640000000004</v>
      </c>
      <c r="E1253" s="111">
        <v>73.842215999999993</v>
      </c>
      <c r="F1253" s="111">
        <v>2</v>
      </c>
      <c r="G1253" s="133">
        <v>0</v>
      </c>
      <c r="H1253" s="111">
        <v>13.5</v>
      </c>
      <c r="I1253" s="111">
        <v>2.5</v>
      </c>
      <c r="J1253" s="111">
        <v>1</v>
      </c>
      <c r="K1253" s="111">
        <v>1</v>
      </c>
      <c r="L1253">
        <v>0</v>
      </c>
    </row>
    <row r="1254" spans="1:12" x14ac:dyDescent="0.2">
      <c r="A1254" s="111" t="s">
        <v>1307</v>
      </c>
      <c r="B1254" s="132">
        <v>40</v>
      </c>
      <c r="C1254" s="111">
        <v>175.26</v>
      </c>
      <c r="D1254" s="111">
        <v>77.110640000000004</v>
      </c>
      <c r="E1254" s="111">
        <v>70</v>
      </c>
      <c r="F1254" s="111">
        <v>4</v>
      </c>
      <c r="G1254" s="133">
        <v>0.25</v>
      </c>
      <c r="H1254" s="111">
        <v>38</v>
      </c>
      <c r="I1254" s="111">
        <v>0.5</v>
      </c>
      <c r="J1254" s="111">
        <v>0</v>
      </c>
      <c r="K1254" s="111">
        <v>0</v>
      </c>
      <c r="L1254">
        <v>0</v>
      </c>
    </row>
    <row r="1255" spans="1:12" x14ac:dyDescent="0.2">
      <c r="A1255" s="111" t="s">
        <v>1308</v>
      </c>
      <c r="B1255" s="132" t="s">
        <v>1596</v>
      </c>
      <c r="F1255" s="111">
        <v>1</v>
      </c>
      <c r="G1255" s="133">
        <v>0</v>
      </c>
      <c r="H1255" s="111">
        <v>1</v>
      </c>
      <c r="I1255" s="111">
        <v>0</v>
      </c>
      <c r="J1255" s="111">
        <v>1</v>
      </c>
      <c r="K1255" s="111">
        <v>0</v>
      </c>
      <c r="L1255">
        <v>0</v>
      </c>
    </row>
    <row r="1256" spans="1:12" x14ac:dyDescent="0.2">
      <c r="A1256" s="111" t="s">
        <v>1309</v>
      </c>
      <c r="B1256" s="132">
        <v>20</v>
      </c>
      <c r="C1256" s="111">
        <v>182.88</v>
      </c>
      <c r="D1256" s="111">
        <v>70.306759999999997</v>
      </c>
      <c r="E1256" s="111">
        <v>71</v>
      </c>
      <c r="F1256" s="111">
        <v>3</v>
      </c>
      <c r="G1256" s="133">
        <v>0.66666666666666663</v>
      </c>
      <c r="H1256" s="111">
        <v>15.666666666666666</v>
      </c>
      <c r="I1256" s="111">
        <v>1.3333333333333333</v>
      </c>
      <c r="J1256" s="111">
        <v>0.33333333333333331</v>
      </c>
      <c r="K1256" s="111">
        <v>1.3333333333333333</v>
      </c>
      <c r="L1256">
        <v>0</v>
      </c>
    </row>
    <row r="1257" spans="1:12" x14ac:dyDescent="0.2">
      <c r="A1257" s="111" t="s">
        <v>1310</v>
      </c>
      <c r="B1257" s="132">
        <v>30</v>
      </c>
      <c r="C1257" s="111">
        <v>182.88</v>
      </c>
      <c r="D1257" s="111">
        <v>77.110640000000004</v>
      </c>
      <c r="E1257" s="111">
        <v>72</v>
      </c>
      <c r="F1257" s="111">
        <v>2</v>
      </c>
      <c r="G1257" s="133">
        <v>0.5</v>
      </c>
      <c r="H1257" s="111">
        <v>47.5</v>
      </c>
      <c r="I1257" s="111">
        <v>0</v>
      </c>
      <c r="J1257" s="111">
        <v>0</v>
      </c>
      <c r="K1257" s="111">
        <v>1</v>
      </c>
      <c r="L1257">
        <v>1</v>
      </c>
    </row>
    <row r="1258" spans="1:12" x14ac:dyDescent="0.2">
      <c r="A1258" s="111" t="s">
        <v>1585</v>
      </c>
      <c r="B1258" s="132">
        <v>32</v>
      </c>
      <c r="C1258" s="111">
        <v>180.34</v>
      </c>
      <c r="D1258" s="111">
        <v>70.306759999999997</v>
      </c>
      <c r="E1258" s="111">
        <v>72.837137999999996</v>
      </c>
      <c r="F1258" s="111">
        <v>1</v>
      </c>
      <c r="G1258" s="133">
        <v>0</v>
      </c>
      <c r="H1258" s="111">
        <v>36</v>
      </c>
      <c r="I1258" s="111">
        <v>0</v>
      </c>
      <c r="J1258" s="111">
        <v>0</v>
      </c>
      <c r="K1258" s="111">
        <v>0</v>
      </c>
      <c r="L1258">
        <v>0</v>
      </c>
    </row>
    <row r="1259" spans="1:12" x14ac:dyDescent="0.2">
      <c r="A1259" s="111" t="s">
        <v>1311</v>
      </c>
      <c r="B1259" s="132">
        <v>51</v>
      </c>
      <c r="C1259" s="111">
        <v>190.5</v>
      </c>
      <c r="D1259" s="111">
        <v>102.0582</v>
      </c>
      <c r="E1259" s="111">
        <v>76.85745</v>
      </c>
      <c r="F1259" s="111">
        <v>2</v>
      </c>
      <c r="G1259" s="133">
        <v>0</v>
      </c>
      <c r="H1259" s="111">
        <v>0</v>
      </c>
      <c r="I1259" s="111">
        <v>0</v>
      </c>
      <c r="J1259" s="111">
        <v>0</v>
      </c>
      <c r="K1259" s="111">
        <v>0</v>
      </c>
      <c r="L1259">
        <v>0</v>
      </c>
    </row>
    <row r="1260" spans="1:12" x14ac:dyDescent="0.2">
      <c r="A1260" s="111" t="s">
        <v>1312</v>
      </c>
      <c r="B1260" s="132">
        <v>30</v>
      </c>
      <c r="C1260" s="111">
        <v>187.96</v>
      </c>
      <c r="D1260" s="111">
        <v>83.914519999999996</v>
      </c>
      <c r="E1260" s="111">
        <v>75</v>
      </c>
      <c r="F1260" s="111">
        <v>5</v>
      </c>
      <c r="G1260" s="133">
        <v>0.6</v>
      </c>
      <c r="H1260" s="111">
        <v>20.8</v>
      </c>
      <c r="I1260" s="111">
        <v>0</v>
      </c>
      <c r="J1260" s="111">
        <v>0</v>
      </c>
      <c r="K1260" s="111">
        <v>0.2</v>
      </c>
      <c r="L1260">
        <v>1</v>
      </c>
    </row>
    <row r="1261" spans="1:12" x14ac:dyDescent="0.2">
      <c r="A1261" s="111" t="s">
        <v>1313</v>
      </c>
      <c r="B1261" s="132" t="s">
        <v>1596</v>
      </c>
      <c r="F1261" s="111">
        <v>1</v>
      </c>
      <c r="G1261" s="133">
        <v>0</v>
      </c>
      <c r="H1261" s="111">
        <v>1</v>
      </c>
      <c r="I1261" s="111">
        <v>0</v>
      </c>
      <c r="J1261" s="111">
        <v>0</v>
      </c>
      <c r="K1261" s="111">
        <v>0</v>
      </c>
      <c r="L1261">
        <v>0</v>
      </c>
    </row>
    <row r="1262" spans="1:12" x14ac:dyDescent="0.2">
      <c r="A1262" s="111" t="s">
        <v>1314</v>
      </c>
      <c r="B1262" s="132">
        <v>36</v>
      </c>
      <c r="C1262" s="111">
        <v>187.96</v>
      </c>
      <c r="D1262" s="111">
        <v>92.986360000000005</v>
      </c>
      <c r="E1262" s="111">
        <v>75.852372000000003</v>
      </c>
      <c r="F1262" s="111">
        <v>5</v>
      </c>
      <c r="G1262" s="133">
        <v>0.4</v>
      </c>
      <c r="H1262" s="111">
        <v>14.4</v>
      </c>
      <c r="I1262" s="111">
        <v>1</v>
      </c>
      <c r="J1262" s="111">
        <v>1.2</v>
      </c>
      <c r="K1262" s="111">
        <v>1.4</v>
      </c>
      <c r="L1262">
        <v>0</v>
      </c>
    </row>
    <row r="1263" spans="1:12" x14ac:dyDescent="0.2">
      <c r="A1263" s="111" t="s">
        <v>1315</v>
      </c>
      <c r="B1263" s="132">
        <v>35</v>
      </c>
      <c r="C1263" s="111">
        <v>177.8</v>
      </c>
      <c r="D1263" s="111">
        <v>77.110640000000004</v>
      </c>
      <c r="E1263" s="111">
        <v>71.832059999999998</v>
      </c>
      <c r="F1263" s="111">
        <v>2</v>
      </c>
      <c r="G1263" s="133">
        <v>0</v>
      </c>
      <c r="H1263" s="111">
        <v>4.5</v>
      </c>
      <c r="I1263" s="111">
        <v>0</v>
      </c>
      <c r="J1263" s="111">
        <v>0.5</v>
      </c>
      <c r="K1263" s="111">
        <v>0</v>
      </c>
      <c r="L1263">
        <v>0</v>
      </c>
    </row>
    <row r="1264" spans="1:12" x14ac:dyDescent="0.2">
      <c r="A1264" s="111" t="s">
        <v>1316</v>
      </c>
      <c r="B1264" s="132">
        <v>30</v>
      </c>
      <c r="C1264" s="111">
        <v>172.72</v>
      </c>
      <c r="D1264" s="111">
        <v>65.770840000000007</v>
      </c>
      <c r="E1264" s="111">
        <v>67</v>
      </c>
      <c r="F1264" s="111">
        <v>10</v>
      </c>
      <c r="G1264" s="133">
        <v>0.5</v>
      </c>
      <c r="H1264" s="111">
        <v>22.6</v>
      </c>
      <c r="I1264" s="111">
        <v>1</v>
      </c>
      <c r="J1264" s="111">
        <v>0.6</v>
      </c>
      <c r="K1264" s="111">
        <v>1</v>
      </c>
      <c r="L1264">
        <v>0</v>
      </c>
    </row>
    <row r="1265" spans="1:12" x14ac:dyDescent="0.2">
      <c r="A1265" s="111" t="s">
        <v>1317</v>
      </c>
      <c r="B1265" s="132">
        <v>32</v>
      </c>
      <c r="C1265" s="111">
        <v>175.26</v>
      </c>
      <c r="D1265" s="111">
        <v>70.306759999999997</v>
      </c>
      <c r="E1265" s="111">
        <v>70</v>
      </c>
      <c r="F1265" s="111">
        <v>20</v>
      </c>
      <c r="G1265" s="133">
        <v>0.45</v>
      </c>
      <c r="H1265" s="111">
        <v>49.75</v>
      </c>
      <c r="I1265" s="111">
        <v>0.5</v>
      </c>
      <c r="J1265" s="111">
        <v>0.1</v>
      </c>
      <c r="K1265" s="111">
        <v>0.45</v>
      </c>
      <c r="L1265">
        <v>0</v>
      </c>
    </row>
    <row r="1266" spans="1:12" x14ac:dyDescent="0.2">
      <c r="A1266" s="111" t="s">
        <v>1318</v>
      </c>
      <c r="B1266" s="132">
        <v>41</v>
      </c>
      <c r="C1266" s="111">
        <v>172.72</v>
      </c>
      <c r="D1266" s="111">
        <v>70.306759999999997</v>
      </c>
      <c r="E1266" s="111">
        <v>69.821904000000004</v>
      </c>
      <c r="F1266" s="111">
        <v>2</v>
      </c>
      <c r="G1266" s="133">
        <v>0</v>
      </c>
      <c r="H1266" s="111">
        <v>13.5</v>
      </c>
      <c r="I1266" s="111">
        <v>0.5</v>
      </c>
      <c r="J1266" s="111">
        <v>0.5</v>
      </c>
      <c r="K1266" s="111">
        <v>0</v>
      </c>
      <c r="L1266">
        <v>0</v>
      </c>
    </row>
    <row r="1267" spans="1:12" x14ac:dyDescent="0.2">
      <c r="A1267" s="111" t="s">
        <v>1319</v>
      </c>
      <c r="B1267" s="132">
        <v>45</v>
      </c>
      <c r="C1267" s="111">
        <v>175.26</v>
      </c>
      <c r="D1267" s="111">
        <v>90.718400000000003</v>
      </c>
      <c r="E1267" s="111">
        <v>70.826982000000001</v>
      </c>
      <c r="F1267" s="111">
        <v>1</v>
      </c>
      <c r="G1267" s="133">
        <v>1</v>
      </c>
      <c r="H1267" s="111">
        <v>8</v>
      </c>
      <c r="I1267" s="111">
        <v>2</v>
      </c>
      <c r="J1267" s="111">
        <v>2</v>
      </c>
      <c r="K1267" s="111">
        <v>2</v>
      </c>
      <c r="L1267">
        <v>0</v>
      </c>
    </row>
    <row r="1268" spans="1:12" x14ac:dyDescent="0.2">
      <c r="A1268" s="111" t="s">
        <v>1320</v>
      </c>
      <c r="B1268" s="132">
        <v>30</v>
      </c>
      <c r="C1268" s="111">
        <v>182.88</v>
      </c>
      <c r="D1268" s="111">
        <v>77.110640000000004</v>
      </c>
      <c r="E1268" s="111">
        <v>73</v>
      </c>
      <c r="F1268" s="111">
        <v>5</v>
      </c>
      <c r="G1268" s="133">
        <v>0.6</v>
      </c>
      <c r="H1268" s="111">
        <v>33.200000000000003</v>
      </c>
      <c r="I1268" s="111">
        <v>0.2</v>
      </c>
      <c r="J1268" s="111">
        <v>0</v>
      </c>
      <c r="K1268" s="111">
        <v>0</v>
      </c>
      <c r="L1268">
        <v>0</v>
      </c>
    </row>
    <row r="1269" spans="1:12" x14ac:dyDescent="0.2">
      <c r="A1269" s="111" t="s">
        <v>1321</v>
      </c>
      <c r="B1269" s="132">
        <v>36</v>
      </c>
      <c r="C1269" s="111">
        <v>167.64</v>
      </c>
      <c r="D1269" s="111">
        <v>61.234920000000002</v>
      </c>
      <c r="E1269" s="111">
        <v>66</v>
      </c>
      <c r="F1269" s="111">
        <v>5</v>
      </c>
      <c r="G1269" s="133">
        <v>0.4</v>
      </c>
      <c r="H1269" s="111">
        <v>19</v>
      </c>
      <c r="I1269" s="111">
        <v>1.6</v>
      </c>
      <c r="J1269" s="111">
        <v>0</v>
      </c>
      <c r="K1269" s="111">
        <v>1.6</v>
      </c>
      <c r="L1269">
        <v>0</v>
      </c>
    </row>
    <row r="1270" spans="1:12" x14ac:dyDescent="0.2">
      <c r="A1270" s="111" t="s">
        <v>1322</v>
      </c>
      <c r="B1270" s="132">
        <v>31</v>
      </c>
      <c r="C1270" s="111">
        <v>165.1</v>
      </c>
      <c r="D1270" s="111">
        <v>61.234920000000002</v>
      </c>
      <c r="E1270" s="111">
        <v>67</v>
      </c>
      <c r="F1270" s="111">
        <v>4</v>
      </c>
      <c r="G1270" s="133">
        <v>0.25</v>
      </c>
      <c r="H1270" s="111">
        <v>89.75</v>
      </c>
      <c r="I1270" s="111">
        <v>0.5</v>
      </c>
      <c r="J1270" s="111">
        <v>0</v>
      </c>
      <c r="K1270" s="111">
        <v>0.75</v>
      </c>
      <c r="L1270">
        <v>0</v>
      </c>
    </row>
    <row r="1271" spans="1:12" x14ac:dyDescent="0.2">
      <c r="A1271" s="111" t="s">
        <v>1323</v>
      </c>
      <c r="B1271" s="132">
        <v>28</v>
      </c>
      <c r="C1271" s="111">
        <v>170.18</v>
      </c>
      <c r="D1271" s="111">
        <v>61.234920000000002</v>
      </c>
      <c r="E1271" s="111">
        <v>67</v>
      </c>
      <c r="F1271" s="111">
        <v>2</v>
      </c>
      <c r="G1271" s="133">
        <v>0.5</v>
      </c>
      <c r="H1271" s="111">
        <v>16.5</v>
      </c>
      <c r="I1271" s="111">
        <v>0.5</v>
      </c>
      <c r="J1271" s="111">
        <v>0.5</v>
      </c>
      <c r="K1271" s="111">
        <v>0.5</v>
      </c>
      <c r="L1271">
        <v>0</v>
      </c>
    </row>
    <row r="1272" spans="1:12" x14ac:dyDescent="0.2">
      <c r="A1272" s="111" t="s">
        <v>1324</v>
      </c>
      <c r="B1272" s="132">
        <v>48</v>
      </c>
      <c r="C1272" s="111">
        <v>185.42</v>
      </c>
      <c r="D1272" s="111">
        <v>92.986360000000005</v>
      </c>
      <c r="E1272" s="111">
        <v>74.847294000000005</v>
      </c>
      <c r="F1272" s="111">
        <v>1</v>
      </c>
      <c r="G1272" s="133">
        <v>0</v>
      </c>
      <c r="H1272" s="111">
        <v>6</v>
      </c>
      <c r="I1272" s="111">
        <v>0</v>
      </c>
      <c r="J1272" s="111">
        <v>1</v>
      </c>
      <c r="K1272" s="111">
        <v>0</v>
      </c>
      <c r="L1272">
        <v>0</v>
      </c>
    </row>
    <row r="1273" spans="1:12" x14ac:dyDescent="0.2">
      <c r="A1273" s="111" t="s">
        <v>1325</v>
      </c>
      <c r="B1273" s="132">
        <v>42</v>
      </c>
      <c r="C1273" s="111">
        <v>182.88</v>
      </c>
      <c r="D1273" s="111">
        <v>102.0582</v>
      </c>
      <c r="E1273" s="111">
        <v>73.842215999999993</v>
      </c>
      <c r="F1273" s="111">
        <v>1</v>
      </c>
      <c r="G1273" s="133">
        <v>1</v>
      </c>
      <c r="H1273" s="111">
        <v>0</v>
      </c>
      <c r="I1273" s="111">
        <v>1</v>
      </c>
      <c r="J1273" s="111">
        <v>4</v>
      </c>
      <c r="K1273" s="111">
        <v>0</v>
      </c>
      <c r="L1273">
        <v>1</v>
      </c>
    </row>
    <row r="1274" spans="1:12" x14ac:dyDescent="0.2">
      <c r="A1274" s="111" t="s">
        <v>1326</v>
      </c>
      <c r="B1274" s="132">
        <v>28</v>
      </c>
      <c r="C1274" s="111">
        <v>190.5</v>
      </c>
      <c r="D1274" s="111">
        <v>83.914519999999996</v>
      </c>
      <c r="E1274" s="111">
        <v>75</v>
      </c>
      <c r="F1274" s="111">
        <v>3</v>
      </c>
      <c r="G1274" s="133">
        <v>0.33333333333333331</v>
      </c>
      <c r="H1274" s="111">
        <v>25</v>
      </c>
      <c r="I1274" s="111">
        <v>0</v>
      </c>
      <c r="J1274" s="111">
        <v>0.33333333333333331</v>
      </c>
      <c r="K1274" s="111">
        <v>0</v>
      </c>
      <c r="L1274">
        <v>1</v>
      </c>
    </row>
    <row r="1275" spans="1:12" x14ac:dyDescent="0.2">
      <c r="A1275" s="111" t="s">
        <v>1327</v>
      </c>
      <c r="B1275" s="132" t="s">
        <v>1596</v>
      </c>
      <c r="C1275" s="111">
        <v>182.88</v>
      </c>
      <c r="D1275" s="111">
        <v>95.254320000000007</v>
      </c>
      <c r="E1275" s="111">
        <v>73.842215999999993</v>
      </c>
      <c r="F1275" s="111">
        <v>1</v>
      </c>
      <c r="G1275" s="133">
        <v>0</v>
      </c>
      <c r="H1275" s="111">
        <v>0</v>
      </c>
      <c r="I1275" s="111">
        <v>1</v>
      </c>
      <c r="J1275" s="111">
        <v>0</v>
      </c>
      <c r="K1275" s="111">
        <v>3</v>
      </c>
      <c r="L1275">
        <v>0</v>
      </c>
    </row>
    <row r="1276" spans="1:12" x14ac:dyDescent="0.2">
      <c r="A1276" s="111" t="s">
        <v>1328</v>
      </c>
      <c r="B1276" s="132" t="s">
        <v>1596</v>
      </c>
      <c r="C1276" s="111">
        <v>193.04</v>
      </c>
      <c r="D1276" s="111">
        <v>111.13003999999999</v>
      </c>
      <c r="E1276" s="111">
        <v>77.862527999999998</v>
      </c>
      <c r="F1276" s="111">
        <v>1</v>
      </c>
      <c r="G1276" s="133">
        <v>1</v>
      </c>
      <c r="H1276" s="111">
        <v>1</v>
      </c>
      <c r="I1276" s="111">
        <v>0</v>
      </c>
      <c r="J1276" s="111">
        <v>2</v>
      </c>
      <c r="K1276" s="111">
        <v>0</v>
      </c>
      <c r="L1276">
        <v>0</v>
      </c>
    </row>
    <row r="1277" spans="1:12" x14ac:dyDescent="0.2">
      <c r="A1277" s="111" t="s">
        <v>1329</v>
      </c>
      <c r="B1277" s="132">
        <v>51</v>
      </c>
      <c r="C1277" s="111">
        <v>180.34</v>
      </c>
      <c r="D1277" s="111">
        <v>146.51021600000001</v>
      </c>
      <c r="E1277" s="111">
        <v>72.837137999999996</v>
      </c>
      <c r="F1277" s="111">
        <v>4</v>
      </c>
      <c r="G1277" s="133">
        <v>0.5</v>
      </c>
      <c r="H1277" s="111">
        <v>24.75</v>
      </c>
      <c r="I1277" s="111">
        <v>1</v>
      </c>
      <c r="J1277" s="111">
        <v>0.5</v>
      </c>
      <c r="K1277" s="111">
        <v>0.25</v>
      </c>
      <c r="L1277">
        <v>0</v>
      </c>
    </row>
    <row r="1278" spans="1:12" x14ac:dyDescent="0.2">
      <c r="A1278" s="111" t="s">
        <v>1330</v>
      </c>
      <c r="B1278" s="132" t="s">
        <v>1596</v>
      </c>
      <c r="C1278" s="111">
        <v>193.04</v>
      </c>
      <c r="D1278" s="111">
        <v>106.59412</v>
      </c>
      <c r="E1278" s="111">
        <v>77.862527999999998</v>
      </c>
      <c r="F1278" s="111">
        <v>1</v>
      </c>
      <c r="G1278" s="133">
        <v>0</v>
      </c>
      <c r="H1278" s="111">
        <v>3</v>
      </c>
      <c r="I1278" s="111">
        <v>0</v>
      </c>
      <c r="J1278" s="111">
        <v>0</v>
      </c>
      <c r="K1278" s="111">
        <v>1</v>
      </c>
      <c r="L1278">
        <v>0</v>
      </c>
    </row>
    <row r="1279" spans="1:12" x14ac:dyDescent="0.2">
      <c r="A1279" s="111" t="s">
        <v>1331</v>
      </c>
      <c r="B1279" s="132">
        <v>33</v>
      </c>
      <c r="C1279" s="111">
        <v>175.26</v>
      </c>
      <c r="D1279" s="111">
        <v>70.306759999999997</v>
      </c>
      <c r="E1279" s="111">
        <v>69</v>
      </c>
      <c r="F1279" s="111">
        <v>2</v>
      </c>
      <c r="G1279" s="133">
        <v>0.5</v>
      </c>
      <c r="H1279" s="111">
        <v>54.5</v>
      </c>
      <c r="I1279" s="111">
        <v>1.5</v>
      </c>
      <c r="J1279" s="111">
        <v>0.5</v>
      </c>
      <c r="K1279" s="111">
        <v>1.5</v>
      </c>
      <c r="L1279">
        <v>0</v>
      </c>
    </row>
    <row r="1280" spans="1:12" x14ac:dyDescent="0.2">
      <c r="A1280" s="111" t="s">
        <v>1332</v>
      </c>
      <c r="B1280" s="132">
        <v>34</v>
      </c>
      <c r="C1280" s="111">
        <v>165.1</v>
      </c>
      <c r="D1280" s="111">
        <v>61.234920000000002</v>
      </c>
      <c r="E1280" s="111">
        <v>66</v>
      </c>
      <c r="F1280" s="111">
        <v>12</v>
      </c>
      <c r="G1280" s="133">
        <v>0.33333333333333331</v>
      </c>
      <c r="H1280" s="111">
        <v>32.75</v>
      </c>
      <c r="I1280" s="111">
        <v>1.75</v>
      </c>
      <c r="J1280" s="111">
        <v>0.16666666666666666</v>
      </c>
      <c r="K1280" s="111">
        <v>1.0833333333333333</v>
      </c>
      <c r="L1280">
        <v>0</v>
      </c>
    </row>
    <row r="1281" spans="1:12" x14ac:dyDescent="0.2">
      <c r="A1281" s="111" t="s">
        <v>1333</v>
      </c>
      <c r="B1281" s="132">
        <v>38</v>
      </c>
      <c r="C1281" s="111">
        <v>185.42</v>
      </c>
      <c r="D1281" s="111">
        <v>120.20188</v>
      </c>
      <c r="E1281" s="111">
        <v>74.847294000000005</v>
      </c>
      <c r="F1281" s="111">
        <v>1</v>
      </c>
      <c r="G1281" s="133">
        <v>0</v>
      </c>
      <c r="H1281" s="111">
        <v>17</v>
      </c>
      <c r="I1281" s="111">
        <v>0</v>
      </c>
      <c r="J1281" s="111">
        <v>0</v>
      </c>
      <c r="K1281" s="111">
        <v>0</v>
      </c>
      <c r="L1281">
        <v>0</v>
      </c>
    </row>
    <row r="1282" spans="1:12" x14ac:dyDescent="0.2">
      <c r="A1282" s="111" t="s">
        <v>1334</v>
      </c>
      <c r="B1282" s="132" t="s">
        <v>1596</v>
      </c>
      <c r="C1282" s="111">
        <v>177.8</v>
      </c>
      <c r="D1282" s="111">
        <v>95.254320000000007</v>
      </c>
      <c r="E1282" s="111">
        <v>71.832059999999998</v>
      </c>
      <c r="F1282" s="111">
        <v>2</v>
      </c>
      <c r="G1282" s="133">
        <v>0.5</v>
      </c>
      <c r="H1282" s="111">
        <v>0.5</v>
      </c>
      <c r="I1282" s="111">
        <v>0.5</v>
      </c>
      <c r="J1282" s="111">
        <v>0.5</v>
      </c>
      <c r="K1282" s="111">
        <v>0.5</v>
      </c>
      <c r="L1282">
        <v>0</v>
      </c>
    </row>
    <row r="1283" spans="1:12" x14ac:dyDescent="0.2">
      <c r="A1283" s="111" t="s">
        <v>1335</v>
      </c>
      <c r="B1283" s="132">
        <v>37</v>
      </c>
      <c r="C1283" s="111">
        <v>182.88</v>
      </c>
      <c r="D1283" s="111">
        <v>83.914519999999996</v>
      </c>
      <c r="E1283" s="111">
        <v>70</v>
      </c>
      <c r="F1283" s="111">
        <v>4</v>
      </c>
      <c r="G1283" s="133">
        <v>0.25</v>
      </c>
      <c r="H1283" s="111">
        <v>16.5</v>
      </c>
      <c r="I1283" s="111">
        <v>0</v>
      </c>
      <c r="J1283" s="111">
        <v>0.5</v>
      </c>
      <c r="K1283" s="111">
        <v>0</v>
      </c>
      <c r="L1283">
        <v>0</v>
      </c>
    </row>
    <row r="1284" spans="1:12" x14ac:dyDescent="0.2">
      <c r="A1284" s="111" t="s">
        <v>1336</v>
      </c>
      <c r="B1284" s="132">
        <v>45</v>
      </c>
      <c r="C1284" s="111">
        <v>182.88</v>
      </c>
      <c r="D1284" s="111">
        <v>106.59412</v>
      </c>
      <c r="E1284" s="111">
        <v>73.842215999999993</v>
      </c>
      <c r="F1284" s="111">
        <v>1</v>
      </c>
      <c r="G1284" s="133">
        <v>0</v>
      </c>
      <c r="H1284" s="111">
        <v>6</v>
      </c>
      <c r="I1284" s="111">
        <v>0</v>
      </c>
      <c r="J1284" s="111">
        <v>0</v>
      </c>
      <c r="K1284" s="111">
        <v>0</v>
      </c>
      <c r="L1284">
        <v>0</v>
      </c>
    </row>
    <row r="1285" spans="1:12" x14ac:dyDescent="0.2">
      <c r="A1285" s="111" t="s">
        <v>1337</v>
      </c>
      <c r="B1285" s="132">
        <v>41</v>
      </c>
      <c r="C1285" s="111">
        <v>182.88</v>
      </c>
      <c r="D1285" s="111">
        <v>79.378600000000006</v>
      </c>
      <c r="E1285" s="111">
        <v>73.842215999999993</v>
      </c>
      <c r="F1285" s="111">
        <v>1</v>
      </c>
      <c r="G1285" s="133">
        <v>0</v>
      </c>
      <c r="H1285" s="111">
        <v>0</v>
      </c>
      <c r="I1285" s="111">
        <v>0</v>
      </c>
      <c r="J1285" s="111">
        <v>0</v>
      </c>
      <c r="K1285" s="111">
        <v>0</v>
      </c>
      <c r="L1285">
        <v>0</v>
      </c>
    </row>
    <row r="1286" spans="1:12" x14ac:dyDescent="0.2">
      <c r="A1286" s="111" t="s">
        <v>1338</v>
      </c>
      <c r="B1286" s="132" t="s">
        <v>1596</v>
      </c>
      <c r="C1286" s="111">
        <v>190.5</v>
      </c>
      <c r="D1286" s="111">
        <v>120.20188</v>
      </c>
      <c r="E1286" s="111">
        <v>76.85745</v>
      </c>
      <c r="F1286" s="111">
        <v>1</v>
      </c>
      <c r="G1286" s="133">
        <v>0</v>
      </c>
      <c r="H1286" s="111">
        <v>0</v>
      </c>
      <c r="I1286" s="111">
        <v>0</v>
      </c>
      <c r="J1286" s="111">
        <v>0</v>
      </c>
      <c r="K1286" s="111">
        <v>0</v>
      </c>
      <c r="L1286">
        <v>1</v>
      </c>
    </row>
    <row r="1287" spans="1:12" x14ac:dyDescent="0.2">
      <c r="A1287" s="111" t="s">
        <v>1339</v>
      </c>
      <c r="B1287" s="132">
        <v>40</v>
      </c>
      <c r="C1287" s="111">
        <v>200.66</v>
      </c>
      <c r="D1287" s="111">
        <v>120.20188</v>
      </c>
      <c r="E1287" s="111">
        <v>81</v>
      </c>
      <c r="F1287" s="111">
        <v>3</v>
      </c>
      <c r="G1287" s="133">
        <v>0.33333333333333331</v>
      </c>
      <c r="H1287" s="111">
        <v>4</v>
      </c>
      <c r="I1287" s="111">
        <v>0.66666666666666663</v>
      </c>
      <c r="J1287" s="111">
        <v>1.3333333333333333</v>
      </c>
      <c r="K1287" s="111">
        <v>0.66666666666666663</v>
      </c>
      <c r="L1287">
        <v>0</v>
      </c>
    </row>
    <row r="1288" spans="1:12" x14ac:dyDescent="0.2">
      <c r="A1288" s="111" t="s">
        <v>1340</v>
      </c>
      <c r="B1288" s="132">
        <v>33</v>
      </c>
      <c r="C1288" s="111">
        <v>185.42</v>
      </c>
      <c r="D1288" s="111">
        <v>92.986360000000005</v>
      </c>
      <c r="E1288" s="111">
        <v>74</v>
      </c>
      <c r="F1288" s="111">
        <v>5</v>
      </c>
      <c r="G1288" s="133">
        <v>0.4</v>
      </c>
      <c r="H1288" s="111">
        <v>42.2</v>
      </c>
      <c r="I1288" s="111">
        <v>0</v>
      </c>
      <c r="J1288" s="111">
        <v>0.4</v>
      </c>
      <c r="K1288" s="111">
        <v>0</v>
      </c>
      <c r="L1288">
        <v>0</v>
      </c>
    </row>
    <row r="1289" spans="1:12" x14ac:dyDescent="0.2">
      <c r="A1289" s="111" t="s">
        <v>1341</v>
      </c>
      <c r="B1289" s="132">
        <v>40</v>
      </c>
      <c r="C1289" s="111">
        <v>182.88</v>
      </c>
      <c r="D1289" s="111">
        <v>77.110640000000004</v>
      </c>
      <c r="E1289" s="111">
        <v>76</v>
      </c>
      <c r="F1289" s="111">
        <v>6</v>
      </c>
      <c r="G1289" s="133">
        <v>0.66666666666666663</v>
      </c>
      <c r="H1289" s="111">
        <v>49.666666666666664</v>
      </c>
      <c r="I1289" s="111">
        <v>0.33333333333333331</v>
      </c>
      <c r="J1289" s="111">
        <v>0.33333333333333331</v>
      </c>
      <c r="K1289" s="111">
        <v>0.66666666666666663</v>
      </c>
      <c r="L1289">
        <v>1</v>
      </c>
    </row>
    <row r="1290" spans="1:12" x14ac:dyDescent="0.2">
      <c r="A1290" s="111" t="s">
        <v>1342</v>
      </c>
      <c r="B1290" s="132">
        <v>39</v>
      </c>
      <c r="C1290" s="111">
        <v>177.8</v>
      </c>
      <c r="D1290" s="111">
        <v>83.914519999999996</v>
      </c>
      <c r="E1290" s="111">
        <v>71.832059999999998</v>
      </c>
      <c r="F1290" s="111">
        <v>2</v>
      </c>
      <c r="G1290" s="133">
        <v>0</v>
      </c>
      <c r="H1290" s="111">
        <v>5.5</v>
      </c>
      <c r="I1290" s="111">
        <v>1</v>
      </c>
      <c r="J1290" s="111">
        <v>0</v>
      </c>
      <c r="K1290" s="111">
        <v>1</v>
      </c>
      <c r="L1290">
        <v>1</v>
      </c>
    </row>
    <row r="1291" spans="1:12" x14ac:dyDescent="0.2">
      <c r="A1291" s="111" t="s">
        <v>1343</v>
      </c>
      <c r="B1291" s="132">
        <v>43</v>
      </c>
      <c r="C1291" s="111">
        <v>167.64</v>
      </c>
      <c r="D1291" s="111">
        <v>70.306759999999997</v>
      </c>
      <c r="E1291" s="111">
        <v>67</v>
      </c>
      <c r="F1291" s="111">
        <v>12</v>
      </c>
      <c r="G1291" s="133">
        <v>0.66666666666666663</v>
      </c>
      <c r="H1291" s="111">
        <v>34.583333333333336</v>
      </c>
      <c r="I1291" s="111">
        <v>4.166666666666667</v>
      </c>
      <c r="J1291" s="111">
        <v>0.33333333333333331</v>
      </c>
      <c r="K1291" s="111">
        <v>3.9166666666666665</v>
      </c>
      <c r="L1291">
        <v>0</v>
      </c>
    </row>
    <row r="1292" spans="1:12" x14ac:dyDescent="0.2">
      <c r="A1292" s="111" t="s">
        <v>1344</v>
      </c>
      <c r="B1292" s="132">
        <v>27</v>
      </c>
      <c r="C1292" s="111">
        <v>175.26</v>
      </c>
      <c r="D1292" s="111">
        <v>65.770840000000007</v>
      </c>
      <c r="E1292" s="111">
        <v>70</v>
      </c>
      <c r="F1292" s="111">
        <v>3</v>
      </c>
      <c r="G1292" s="133">
        <v>0</v>
      </c>
      <c r="H1292" s="111">
        <v>37.333333333333336</v>
      </c>
      <c r="I1292" s="111">
        <v>1</v>
      </c>
      <c r="J1292" s="111">
        <v>0</v>
      </c>
      <c r="K1292" s="111">
        <v>0</v>
      </c>
      <c r="L1292">
        <v>0</v>
      </c>
    </row>
    <row r="1293" spans="1:12" x14ac:dyDescent="0.2">
      <c r="A1293" s="111" t="s">
        <v>1345</v>
      </c>
      <c r="B1293" s="132">
        <v>29</v>
      </c>
      <c r="C1293" s="111">
        <v>177.8</v>
      </c>
      <c r="D1293" s="111">
        <v>77.110640000000004</v>
      </c>
      <c r="E1293" s="111">
        <v>75</v>
      </c>
      <c r="F1293" s="111">
        <v>7</v>
      </c>
      <c r="G1293" s="133">
        <v>0.42857142857142855</v>
      </c>
      <c r="H1293" s="111">
        <v>62.714285714285715</v>
      </c>
      <c r="I1293" s="111">
        <v>0.14285714285714285</v>
      </c>
      <c r="J1293" s="111">
        <v>0</v>
      </c>
      <c r="K1293" s="111">
        <v>0.7142857142857143</v>
      </c>
      <c r="L1293">
        <v>0</v>
      </c>
    </row>
    <row r="1294" spans="1:12" x14ac:dyDescent="0.2">
      <c r="A1294" s="111" t="s">
        <v>1346</v>
      </c>
      <c r="B1294" s="132">
        <v>25</v>
      </c>
      <c r="C1294" s="111">
        <v>185.42</v>
      </c>
      <c r="D1294" s="111">
        <v>77.110640000000004</v>
      </c>
      <c r="E1294" s="111">
        <v>76</v>
      </c>
      <c r="F1294" s="111">
        <v>5</v>
      </c>
      <c r="G1294" s="133">
        <v>0.8</v>
      </c>
      <c r="H1294" s="111">
        <v>53.4</v>
      </c>
      <c r="I1294" s="111">
        <v>1.6</v>
      </c>
      <c r="J1294" s="111">
        <v>0.6</v>
      </c>
      <c r="K1294" s="111">
        <v>1.2</v>
      </c>
      <c r="L1294">
        <v>0</v>
      </c>
    </row>
    <row r="1295" spans="1:12" x14ac:dyDescent="0.2">
      <c r="A1295" s="111" t="s">
        <v>1347</v>
      </c>
      <c r="B1295" s="132">
        <v>43</v>
      </c>
      <c r="C1295" s="111">
        <v>208.28</v>
      </c>
      <c r="D1295" s="111">
        <v>120.20188</v>
      </c>
      <c r="E1295" s="111">
        <v>83.892995999999997</v>
      </c>
      <c r="F1295" s="111">
        <v>2</v>
      </c>
      <c r="G1295" s="133">
        <v>0.5</v>
      </c>
      <c r="H1295" s="111">
        <v>8</v>
      </c>
      <c r="I1295" s="111">
        <v>0</v>
      </c>
      <c r="J1295" s="111">
        <v>0</v>
      </c>
      <c r="K1295" s="111">
        <v>0</v>
      </c>
      <c r="L1295">
        <v>0</v>
      </c>
    </row>
    <row r="1296" spans="1:12" x14ac:dyDescent="0.2">
      <c r="A1296" s="111" t="s">
        <v>1348</v>
      </c>
      <c r="B1296" s="132">
        <v>29</v>
      </c>
      <c r="C1296" s="111">
        <v>157.47999999999999</v>
      </c>
      <c r="D1296" s="111">
        <v>52.163080000000001</v>
      </c>
      <c r="E1296" s="111">
        <v>62</v>
      </c>
      <c r="F1296" s="111">
        <v>2</v>
      </c>
      <c r="G1296" s="133">
        <v>0.5</v>
      </c>
      <c r="H1296" s="111">
        <v>64.5</v>
      </c>
      <c r="I1296" s="111">
        <v>0</v>
      </c>
      <c r="J1296" s="111">
        <v>0</v>
      </c>
      <c r="K1296" s="111">
        <v>0</v>
      </c>
      <c r="L1296">
        <v>1</v>
      </c>
    </row>
    <row r="1297" spans="1:12" x14ac:dyDescent="0.2">
      <c r="A1297" s="111" t="s">
        <v>1349</v>
      </c>
      <c r="B1297" s="132">
        <v>34</v>
      </c>
      <c r="C1297" s="111">
        <v>182.88</v>
      </c>
      <c r="D1297" s="111">
        <v>77.110640000000004</v>
      </c>
      <c r="E1297" s="111">
        <v>72</v>
      </c>
      <c r="F1297" s="111">
        <v>5</v>
      </c>
      <c r="G1297" s="133">
        <v>0.8</v>
      </c>
      <c r="H1297" s="111">
        <v>27.8</v>
      </c>
      <c r="I1297" s="111">
        <v>1.4</v>
      </c>
      <c r="J1297" s="111">
        <v>0.4</v>
      </c>
      <c r="K1297" s="111">
        <v>1.6</v>
      </c>
      <c r="L1297">
        <v>0</v>
      </c>
    </row>
    <row r="1298" spans="1:12" x14ac:dyDescent="0.2">
      <c r="A1298" s="111" t="s">
        <v>1350</v>
      </c>
      <c r="B1298" s="132">
        <v>23</v>
      </c>
      <c r="C1298" s="111">
        <v>167.64</v>
      </c>
      <c r="D1298" s="111">
        <v>56.698999999999998</v>
      </c>
      <c r="E1298" s="111">
        <v>69</v>
      </c>
      <c r="F1298" s="111">
        <v>6</v>
      </c>
      <c r="G1298" s="133">
        <v>0.66666666666666663</v>
      </c>
      <c r="H1298" s="111">
        <v>56.333333333333336</v>
      </c>
      <c r="I1298" s="111">
        <v>1.1666666666666667</v>
      </c>
      <c r="J1298" s="111">
        <v>0.83333333333333337</v>
      </c>
      <c r="K1298" s="111">
        <v>2</v>
      </c>
      <c r="L1298">
        <v>0</v>
      </c>
    </row>
    <row r="1299" spans="1:12" x14ac:dyDescent="0.2">
      <c r="A1299" s="111" t="s">
        <v>1351</v>
      </c>
      <c r="B1299" s="132">
        <v>35</v>
      </c>
      <c r="C1299" s="111">
        <v>190.5</v>
      </c>
      <c r="D1299" s="111">
        <v>77.110640000000004</v>
      </c>
      <c r="E1299" s="111">
        <v>74</v>
      </c>
      <c r="F1299" s="111">
        <v>11</v>
      </c>
      <c r="G1299" s="133">
        <v>0.45454545454545453</v>
      </c>
      <c r="H1299" s="111">
        <v>28.181818181818183</v>
      </c>
      <c r="I1299" s="111">
        <v>0.54545454545454541</v>
      </c>
      <c r="J1299" s="111">
        <v>0.45454545454545453</v>
      </c>
      <c r="K1299" s="111">
        <v>0.36363636363636365</v>
      </c>
      <c r="L1299">
        <v>0</v>
      </c>
    </row>
    <row r="1300" spans="1:12" x14ac:dyDescent="0.2">
      <c r="A1300" s="111" t="s">
        <v>1352</v>
      </c>
      <c r="B1300" s="132">
        <v>37</v>
      </c>
      <c r="C1300" s="111">
        <v>182.88</v>
      </c>
      <c r="D1300" s="111">
        <v>92.986360000000005</v>
      </c>
      <c r="E1300" s="111">
        <v>76</v>
      </c>
      <c r="F1300" s="111">
        <v>4</v>
      </c>
      <c r="G1300" s="133">
        <v>0</v>
      </c>
      <c r="H1300" s="111">
        <v>16.5</v>
      </c>
      <c r="I1300" s="111">
        <v>0.25</v>
      </c>
      <c r="J1300" s="111">
        <v>1.25</v>
      </c>
      <c r="K1300" s="111">
        <v>0</v>
      </c>
      <c r="L1300">
        <v>0</v>
      </c>
    </row>
    <row r="1301" spans="1:12" x14ac:dyDescent="0.2">
      <c r="A1301" s="111" t="s">
        <v>1353</v>
      </c>
      <c r="B1301" s="132">
        <v>34</v>
      </c>
      <c r="C1301" s="111">
        <v>175.26</v>
      </c>
      <c r="D1301" s="111">
        <v>70.306759999999997</v>
      </c>
      <c r="E1301" s="111">
        <v>75</v>
      </c>
      <c r="F1301" s="111">
        <v>3</v>
      </c>
      <c r="G1301" s="133">
        <v>0.33333333333333331</v>
      </c>
      <c r="H1301" s="111">
        <v>23.666666666666668</v>
      </c>
      <c r="I1301" s="111">
        <v>1.6666666666666667</v>
      </c>
      <c r="J1301" s="111">
        <v>0</v>
      </c>
      <c r="K1301" s="111">
        <v>3</v>
      </c>
      <c r="L1301">
        <v>0</v>
      </c>
    </row>
    <row r="1302" spans="1:12" x14ac:dyDescent="0.2">
      <c r="A1302" s="111" t="s">
        <v>1354</v>
      </c>
      <c r="B1302" s="132">
        <v>35</v>
      </c>
      <c r="C1302" s="111">
        <v>190.5</v>
      </c>
      <c r="D1302" s="111">
        <v>106.59412</v>
      </c>
      <c r="E1302" s="111">
        <v>76</v>
      </c>
      <c r="F1302" s="111">
        <v>2</v>
      </c>
      <c r="G1302" s="133">
        <v>0.5</v>
      </c>
      <c r="H1302" s="111">
        <v>35.5</v>
      </c>
      <c r="I1302" s="111">
        <v>0</v>
      </c>
      <c r="J1302" s="111">
        <v>0</v>
      </c>
      <c r="K1302" s="111">
        <v>0</v>
      </c>
      <c r="L1302">
        <v>0</v>
      </c>
    </row>
    <row r="1303" spans="1:12" x14ac:dyDescent="0.2">
      <c r="A1303" s="111" t="s">
        <v>1355</v>
      </c>
      <c r="B1303" s="132">
        <v>28</v>
      </c>
      <c r="C1303" s="111">
        <v>182.88</v>
      </c>
      <c r="D1303" s="111">
        <v>70.306759999999997</v>
      </c>
      <c r="E1303" s="111">
        <v>71</v>
      </c>
      <c r="F1303" s="111">
        <v>3</v>
      </c>
      <c r="G1303" s="133">
        <v>0.33333333333333331</v>
      </c>
      <c r="H1303" s="111">
        <v>50.333333333333336</v>
      </c>
      <c r="I1303" s="111">
        <v>1.3333333333333333</v>
      </c>
      <c r="J1303" s="111">
        <v>0</v>
      </c>
      <c r="K1303" s="111">
        <v>1</v>
      </c>
      <c r="L1303">
        <v>0</v>
      </c>
    </row>
    <row r="1304" spans="1:12" x14ac:dyDescent="0.2">
      <c r="A1304" s="111" t="s">
        <v>1356</v>
      </c>
      <c r="B1304" s="132">
        <v>41</v>
      </c>
      <c r="C1304" s="111">
        <v>187.96</v>
      </c>
      <c r="D1304" s="111">
        <v>120.20188</v>
      </c>
      <c r="E1304" s="111">
        <v>80</v>
      </c>
      <c r="F1304" s="111">
        <v>6</v>
      </c>
      <c r="G1304" s="133">
        <v>0.66666666666666663</v>
      </c>
      <c r="H1304" s="111">
        <v>21.833333333333332</v>
      </c>
      <c r="I1304" s="111">
        <v>0.33333333333333331</v>
      </c>
      <c r="J1304" s="111">
        <v>0</v>
      </c>
      <c r="K1304" s="111">
        <v>0.83333333333333337</v>
      </c>
      <c r="L1304">
        <v>0</v>
      </c>
    </row>
    <row r="1305" spans="1:12" x14ac:dyDescent="0.2">
      <c r="A1305" s="111" t="s">
        <v>1357</v>
      </c>
      <c r="B1305" s="132">
        <v>33</v>
      </c>
      <c r="C1305" s="111">
        <v>193.04</v>
      </c>
      <c r="D1305" s="111">
        <v>113.398</v>
      </c>
      <c r="E1305" s="111">
        <v>79</v>
      </c>
      <c r="F1305" s="111">
        <v>2</v>
      </c>
      <c r="G1305" s="133">
        <v>0</v>
      </c>
      <c r="H1305" s="111">
        <v>23</v>
      </c>
      <c r="I1305" s="111">
        <v>0.5</v>
      </c>
      <c r="J1305" s="111">
        <v>1</v>
      </c>
      <c r="K1305" s="111">
        <v>0.5</v>
      </c>
      <c r="L1305">
        <v>1</v>
      </c>
    </row>
    <row r="1306" spans="1:12" x14ac:dyDescent="0.2">
      <c r="A1306" s="111" t="s">
        <v>1358</v>
      </c>
      <c r="B1306" s="132">
        <v>33</v>
      </c>
      <c r="C1306" s="111">
        <v>172.72</v>
      </c>
      <c r="D1306" s="111">
        <v>56.698999999999998</v>
      </c>
      <c r="E1306" s="111">
        <v>69</v>
      </c>
      <c r="F1306" s="111">
        <v>2</v>
      </c>
      <c r="G1306" s="133">
        <v>0</v>
      </c>
      <c r="H1306" s="111">
        <v>11</v>
      </c>
      <c r="I1306" s="111">
        <v>0</v>
      </c>
      <c r="J1306" s="111">
        <v>0</v>
      </c>
      <c r="K1306" s="111">
        <v>0</v>
      </c>
      <c r="L1306">
        <v>0</v>
      </c>
    </row>
    <row r="1307" spans="1:12" x14ac:dyDescent="0.2">
      <c r="A1307" s="111" t="s">
        <v>1359</v>
      </c>
      <c r="B1307" s="132">
        <v>32</v>
      </c>
      <c r="C1307" s="111">
        <v>175.26</v>
      </c>
      <c r="D1307" s="111">
        <v>70.306759999999997</v>
      </c>
      <c r="E1307" s="111">
        <v>70</v>
      </c>
      <c r="F1307" s="111">
        <v>4</v>
      </c>
      <c r="G1307" s="133">
        <v>0.5</v>
      </c>
      <c r="H1307" s="111">
        <v>15.75</v>
      </c>
      <c r="I1307" s="111">
        <v>1</v>
      </c>
      <c r="J1307" s="111">
        <v>1.25</v>
      </c>
      <c r="K1307" s="111">
        <v>1</v>
      </c>
      <c r="L1307">
        <v>1</v>
      </c>
    </row>
    <row r="1308" spans="1:12" x14ac:dyDescent="0.2">
      <c r="A1308" s="111" t="s">
        <v>1360</v>
      </c>
      <c r="B1308" s="132">
        <v>32</v>
      </c>
      <c r="C1308" s="111">
        <v>190.5</v>
      </c>
      <c r="D1308" s="111">
        <v>92.986360000000005</v>
      </c>
      <c r="E1308" s="111">
        <v>76.85745</v>
      </c>
      <c r="F1308" s="111">
        <v>1</v>
      </c>
      <c r="G1308" s="133">
        <v>0</v>
      </c>
      <c r="H1308" s="111">
        <v>7</v>
      </c>
      <c r="I1308" s="111">
        <v>1</v>
      </c>
      <c r="J1308" s="111">
        <v>0</v>
      </c>
      <c r="K1308" s="111">
        <v>0</v>
      </c>
      <c r="L1308">
        <v>0</v>
      </c>
    </row>
    <row r="1309" spans="1:12" x14ac:dyDescent="0.2">
      <c r="A1309" s="111" t="s">
        <v>1361</v>
      </c>
      <c r="B1309" s="132">
        <v>37</v>
      </c>
      <c r="C1309" s="111">
        <v>177.8</v>
      </c>
      <c r="D1309" s="111">
        <v>70.306759999999997</v>
      </c>
      <c r="E1309" s="111">
        <v>72</v>
      </c>
      <c r="F1309" s="111">
        <v>6</v>
      </c>
      <c r="G1309" s="133">
        <v>0.33333333333333331</v>
      </c>
      <c r="H1309" s="111">
        <v>20.666666666666668</v>
      </c>
      <c r="I1309" s="111">
        <v>0.83333333333333337</v>
      </c>
      <c r="J1309" s="111">
        <v>0.33333333333333331</v>
      </c>
      <c r="K1309" s="111">
        <v>1</v>
      </c>
      <c r="L1309">
        <v>0</v>
      </c>
    </row>
    <row r="1310" spans="1:12" x14ac:dyDescent="0.2">
      <c r="A1310" s="111" t="s">
        <v>1362</v>
      </c>
      <c r="B1310" s="132">
        <v>35</v>
      </c>
      <c r="C1310" s="111">
        <v>177.8</v>
      </c>
      <c r="D1310" s="111">
        <v>70.306759999999997</v>
      </c>
      <c r="E1310" s="111">
        <v>71</v>
      </c>
      <c r="F1310" s="111">
        <v>5</v>
      </c>
      <c r="G1310" s="133">
        <v>0.4</v>
      </c>
      <c r="H1310" s="111">
        <v>8.8000000000000007</v>
      </c>
      <c r="I1310" s="111">
        <v>1</v>
      </c>
      <c r="J1310" s="111">
        <v>1.6</v>
      </c>
      <c r="K1310" s="111">
        <v>1</v>
      </c>
      <c r="L1310">
        <v>0</v>
      </c>
    </row>
    <row r="1311" spans="1:12" x14ac:dyDescent="0.2">
      <c r="A1311" s="111" t="s">
        <v>1363</v>
      </c>
      <c r="B1311" s="132">
        <v>32</v>
      </c>
      <c r="C1311" s="111">
        <v>182.88</v>
      </c>
      <c r="D1311" s="111">
        <v>117.93392</v>
      </c>
      <c r="E1311" s="111">
        <v>75</v>
      </c>
      <c r="F1311" s="111">
        <v>10</v>
      </c>
      <c r="G1311" s="133">
        <v>0.6</v>
      </c>
      <c r="H1311" s="111">
        <v>23.5</v>
      </c>
      <c r="I1311" s="111">
        <v>0.9</v>
      </c>
      <c r="J1311" s="111">
        <v>0</v>
      </c>
      <c r="K1311" s="111">
        <v>1.4</v>
      </c>
      <c r="L1311">
        <v>1</v>
      </c>
    </row>
    <row r="1312" spans="1:12" x14ac:dyDescent="0.2">
      <c r="A1312" s="111" t="s">
        <v>1364</v>
      </c>
      <c r="B1312" s="132">
        <v>36</v>
      </c>
      <c r="C1312" s="111">
        <v>170.18</v>
      </c>
      <c r="D1312" s="111">
        <v>61.234920000000002</v>
      </c>
      <c r="E1312" s="111">
        <v>67</v>
      </c>
      <c r="F1312" s="111">
        <v>2</v>
      </c>
      <c r="G1312" s="133">
        <v>0</v>
      </c>
      <c r="H1312" s="111">
        <v>4.5</v>
      </c>
      <c r="I1312" s="111">
        <v>0.5</v>
      </c>
      <c r="J1312" s="111">
        <v>0.5</v>
      </c>
      <c r="K1312" s="111">
        <v>0</v>
      </c>
      <c r="L1312">
        <v>0</v>
      </c>
    </row>
    <row r="1313" spans="1:12" x14ac:dyDescent="0.2">
      <c r="A1313" s="111" t="s">
        <v>1365</v>
      </c>
      <c r="B1313" s="132">
        <v>27</v>
      </c>
      <c r="C1313" s="111">
        <v>165.1</v>
      </c>
      <c r="D1313" s="111">
        <v>61.234920000000002</v>
      </c>
      <c r="E1313" s="111">
        <v>62</v>
      </c>
      <c r="F1313" s="111">
        <v>2</v>
      </c>
      <c r="G1313" s="133">
        <v>0</v>
      </c>
      <c r="H1313" s="111">
        <v>5</v>
      </c>
      <c r="I1313" s="111">
        <v>0</v>
      </c>
      <c r="J1313" s="111">
        <v>0</v>
      </c>
      <c r="K1313" s="111">
        <v>0.5</v>
      </c>
      <c r="L1313">
        <v>0</v>
      </c>
    </row>
    <row r="1314" spans="1:12" x14ac:dyDescent="0.2">
      <c r="A1314" s="111" t="s">
        <v>1366</v>
      </c>
      <c r="B1314" s="132">
        <v>32</v>
      </c>
      <c r="C1314" s="111">
        <v>185.42</v>
      </c>
      <c r="D1314" s="111">
        <v>77.110640000000004</v>
      </c>
      <c r="E1314" s="111">
        <v>71</v>
      </c>
      <c r="F1314" s="111">
        <v>3</v>
      </c>
      <c r="G1314" s="133">
        <v>0.33333333333333331</v>
      </c>
      <c r="H1314" s="111">
        <v>21</v>
      </c>
      <c r="I1314" s="111">
        <v>2</v>
      </c>
      <c r="J1314" s="111">
        <v>0</v>
      </c>
      <c r="K1314" s="111">
        <v>1</v>
      </c>
      <c r="L1314">
        <v>1</v>
      </c>
    </row>
    <row r="1315" spans="1:12" x14ac:dyDescent="0.2">
      <c r="A1315" s="111" t="s">
        <v>1367</v>
      </c>
      <c r="B1315" s="132" t="s">
        <v>1596</v>
      </c>
      <c r="C1315" s="111">
        <v>185.42</v>
      </c>
      <c r="D1315" s="111">
        <v>106.59412</v>
      </c>
      <c r="E1315" s="111">
        <v>74.847294000000005</v>
      </c>
      <c r="F1315" s="111">
        <v>1</v>
      </c>
      <c r="G1315" s="133">
        <v>0</v>
      </c>
      <c r="H1315" s="111">
        <v>4</v>
      </c>
      <c r="I1315" s="111">
        <v>1</v>
      </c>
      <c r="J1315" s="111">
        <v>0</v>
      </c>
      <c r="K1315" s="111">
        <v>2</v>
      </c>
      <c r="L1315">
        <v>0</v>
      </c>
    </row>
    <row r="1316" spans="1:12" x14ac:dyDescent="0.2">
      <c r="A1316" s="111" t="s">
        <v>1368</v>
      </c>
      <c r="B1316" s="132">
        <v>31</v>
      </c>
      <c r="C1316" s="111">
        <v>170.18</v>
      </c>
      <c r="D1316" s="111">
        <v>77.110640000000004</v>
      </c>
      <c r="E1316" s="111">
        <v>70</v>
      </c>
      <c r="F1316" s="111">
        <v>2</v>
      </c>
      <c r="G1316" s="133">
        <v>0.5</v>
      </c>
      <c r="H1316" s="111">
        <v>27</v>
      </c>
      <c r="I1316" s="111">
        <v>1.5</v>
      </c>
      <c r="J1316" s="111">
        <v>0</v>
      </c>
      <c r="K1316" s="111">
        <v>1.5</v>
      </c>
      <c r="L1316">
        <v>0</v>
      </c>
    </row>
    <row r="1317" spans="1:12" x14ac:dyDescent="0.2">
      <c r="A1317" s="111" t="s">
        <v>1369</v>
      </c>
      <c r="B1317" s="132">
        <v>44</v>
      </c>
      <c r="C1317" s="111">
        <v>177.8</v>
      </c>
      <c r="D1317" s="111">
        <v>77.110640000000004</v>
      </c>
      <c r="E1317" s="111">
        <v>71.832059999999998</v>
      </c>
      <c r="F1317" s="111">
        <v>5</v>
      </c>
      <c r="G1317" s="133">
        <v>0.4</v>
      </c>
      <c r="H1317" s="111">
        <v>17.399999999999999</v>
      </c>
      <c r="I1317" s="111">
        <v>1.4</v>
      </c>
      <c r="J1317" s="111">
        <v>0</v>
      </c>
      <c r="K1317" s="111">
        <v>0.8</v>
      </c>
      <c r="L1317">
        <v>1</v>
      </c>
    </row>
    <row r="1318" spans="1:12" x14ac:dyDescent="0.2">
      <c r="A1318" s="111" t="s">
        <v>1370</v>
      </c>
      <c r="B1318" s="132">
        <v>31</v>
      </c>
      <c r="C1318" s="111">
        <v>165.1</v>
      </c>
      <c r="D1318" s="111">
        <v>61.234920000000002</v>
      </c>
      <c r="E1318" s="111">
        <v>66</v>
      </c>
      <c r="F1318" s="111">
        <v>1</v>
      </c>
      <c r="G1318" s="133">
        <v>0</v>
      </c>
      <c r="H1318" s="111">
        <v>2</v>
      </c>
      <c r="I1318" s="111">
        <v>0</v>
      </c>
      <c r="J1318" s="111">
        <v>0</v>
      </c>
      <c r="K1318" s="111">
        <v>0</v>
      </c>
      <c r="L1318">
        <v>0</v>
      </c>
    </row>
    <row r="1319" spans="1:12" x14ac:dyDescent="0.2">
      <c r="A1319" s="111" t="s">
        <v>1371</v>
      </c>
      <c r="B1319" s="132">
        <v>32</v>
      </c>
      <c r="C1319" s="111">
        <v>185.42</v>
      </c>
      <c r="D1319" s="111">
        <v>77.110640000000004</v>
      </c>
      <c r="E1319" s="111">
        <v>79</v>
      </c>
      <c r="F1319" s="111">
        <v>3</v>
      </c>
      <c r="G1319" s="133">
        <v>0.33333333333333331</v>
      </c>
      <c r="H1319" s="111">
        <v>34.333333333333336</v>
      </c>
      <c r="I1319" s="111">
        <v>0.66666666666666663</v>
      </c>
      <c r="J1319" s="111">
        <v>1</v>
      </c>
      <c r="K1319" s="111">
        <v>1</v>
      </c>
      <c r="L1319">
        <v>0</v>
      </c>
    </row>
    <row r="1320" spans="1:12" x14ac:dyDescent="0.2">
      <c r="A1320" s="111" t="s">
        <v>1372</v>
      </c>
      <c r="B1320" s="132" t="s">
        <v>1596</v>
      </c>
      <c r="C1320" s="111">
        <v>182.88</v>
      </c>
      <c r="D1320" s="111">
        <v>97.522279999999995</v>
      </c>
      <c r="E1320" s="111">
        <v>73.842215999999993</v>
      </c>
      <c r="F1320" s="111">
        <v>1</v>
      </c>
      <c r="G1320" s="133">
        <v>1</v>
      </c>
      <c r="H1320" s="111">
        <v>9</v>
      </c>
      <c r="I1320" s="111">
        <v>1</v>
      </c>
      <c r="J1320" s="111">
        <v>0</v>
      </c>
      <c r="K1320" s="111">
        <v>2</v>
      </c>
      <c r="L1320">
        <v>0</v>
      </c>
    </row>
    <row r="1321" spans="1:12" x14ac:dyDescent="0.2">
      <c r="A1321" s="111" t="s">
        <v>1373</v>
      </c>
      <c r="B1321" s="132">
        <v>27</v>
      </c>
      <c r="C1321" s="111">
        <v>165.1</v>
      </c>
      <c r="D1321" s="111">
        <v>61.234920000000002</v>
      </c>
      <c r="E1321" s="111">
        <v>66</v>
      </c>
      <c r="F1321" s="111">
        <v>2</v>
      </c>
      <c r="G1321" s="133">
        <v>0.5</v>
      </c>
      <c r="H1321" s="111">
        <v>53.5</v>
      </c>
      <c r="I1321" s="111">
        <v>4</v>
      </c>
      <c r="J1321" s="111">
        <v>0</v>
      </c>
      <c r="K1321" s="111">
        <v>0.5</v>
      </c>
      <c r="L1321">
        <v>0</v>
      </c>
    </row>
    <row r="1322" spans="1:12" x14ac:dyDescent="0.2">
      <c r="A1322" s="111" t="s">
        <v>1374</v>
      </c>
      <c r="B1322" s="132">
        <v>32</v>
      </c>
      <c r="C1322" s="111">
        <v>180.34</v>
      </c>
      <c r="D1322" s="111">
        <v>77.110640000000004</v>
      </c>
      <c r="E1322" s="111">
        <v>76</v>
      </c>
      <c r="F1322" s="111">
        <v>3</v>
      </c>
      <c r="G1322" s="133">
        <v>0.33333333333333331</v>
      </c>
      <c r="H1322" s="111">
        <v>17.333333333333332</v>
      </c>
      <c r="I1322" s="111">
        <v>0.33333333333333331</v>
      </c>
      <c r="J1322" s="111">
        <v>0</v>
      </c>
      <c r="K1322" s="111">
        <v>0</v>
      </c>
      <c r="L1322">
        <v>0</v>
      </c>
    </row>
    <row r="1323" spans="1:12" x14ac:dyDescent="0.2">
      <c r="A1323" s="111" t="s">
        <v>1375</v>
      </c>
      <c r="B1323" s="132">
        <v>39</v>
      </c>
      <c r="C1323" s="111">
        <v>193.04</v>
      </c>
      <c r="D1323" s="111">
        <v>120.20188</v>
      </c>
      <c r="E1323" s="111">
        <v>81</v>
      </c>
      <c r="F1323" s="111">
        <v>7</v>
      </c>
      <c r="G1323" s="133">
        <v>0.5714285714285714</v>
      </c>
      <c r="H1323" s="111">
        <v>17.285714285714285</v>
      </c>
      <c r="I1323" s="111">
        <v>1.2857142857142858</v>
      </c>
      <c r="J1323" s="111">
        <v>0</v>
      </c>
      <c r="K1323" s="111">
        <v>1.8571428571428572</v>
      </c>
      <c r="L1323">
        <v>0</v>
      </c>
    </row>
    <row r="1324" spans="1:12" x14ac:dyDescent="0.2">
      <c r="A1324" s="111" t="s">
        <v>1376</v>
      </c>
      <c r="B1324" s="132">
        <v>44</v>
      </c>
      <c r="C1324" s="111">
        <v>180.34</v>
      </c>
      <c r="D1324" s="111">
        <v>83.914519999999996</v>
      </c>
      <c r="E1324" s="111">
        <v>72.837137999999996</v>
      </c>
      <c r="F1324" s="111">
        <v>1</v>
      </c>
      <c r="G1324" s="133">
        <v>0</v>
      </c>
      <c r="H1324" s="111">
        <v>11</v>
      </c>
      <c r="I1324" s="111">
        <v>1</v>
      </c>
      <c r="J1324" s="111">
        <v>0</v>
      </c>
      <c r="K1324" s="111">
        <v>1</v>
      </c>
      <c r="L1324">
        <v>1</v>
      </c>
    </row>
    <row r="1325" spans="1:12" x14ac:dyDescent="0.2">
      <c r="A1325" s="111" t="s">
        <v>1377</v>
      </c>
      <c r="B1325" s="132">
        <v>40</v>
      </c>
      <c r="C1325" s="111">
        <v>170.18</v>
      </c>
      <c r="D1325" s="111">
        <v>70.306759999999997</v>
      </c>
      <c r="E1325" s="111">
        <v>70</v>
      </c>
      <c r="F1325" s="111">
        <v>17</v>
      </c>
      <c r="G1325" s="133">
        <v>0.52941176470588236</v>
      </c>
      <c r="H1325" s="111">
        <v>37.470588235294116</v>
      </c>
      <c r="I1325" s="111">
        <v>0.52941176470588236</v>
      </c>
      <c r="J1325" s="111">
        <v>0.58823529411764708</v>
      </c>
      <c r="K1325" s="111">
        <v>1.1176470588235294</v>
      </c>
      <c r="L1325">
        <v>1</v>
      </c>
    </row>
    <row r="1326" spans="1:12" x14ac:dyDescent="0.2">
      <c r="A1326" s="111" t="s">
        <v>1378</v>
      </c>
      <c r="B1326" s="132">
        <v>35</v>
      </c>
      <c r="C1326" s="111">
        <v>180.34</v>
      </c>
      <c r="D1326" s="111">
        <v>92.986360000000005</v>
      </c>
      <c r="E1326" s="111">
        <v>71</v>
      </c>
      <c r="F1326" s="111">
        <v>4</v>
      </c>
      <c r="G1326" s="133">
        <v>0.25</v>
      </c>
      <c r="H1326" s="111">
        <v>22.5</v>
      </c>
      <c r="I1326" s="111">
        <v>1.25</v>
      </c>
      <c r="J1326" s="111">
        <v>0</v>
      </c>
      <c r="K1326" s="111">
        <v>0.25</v>
      </c>
      <c r="L1326">
        <v>0</v>
      </c>
    </row>
    <row r="1327" spans="1:12" x14ac:dyDescent="0.2">
      <c r="A1327" s="111" t="s">
        <v>1379</v>
      </c>
      <c r="B1327" s="132">
        <v>28</v>
      </c>
      <c r="C1327" s="111">
        <v>210.82</v>
      </c>
      <c r="D1327" s="111">
        <v>120.20188</v>
      </c>
      <c r="E1327" s="111">
        <v>84</v>
      </c>
      <c r="F1327" s="111">
        <v>16</v>
      </c>
      <c r="G1327" s="133">
        <v>0.625</v>
      </c>
      <c r="H1327" s="111">
        <v>24.4375</v>
      </c>
      <c r="I1327" s="111">
        <v>0.25</v>
      </c>
      <c r="J1327" s="111">
        <v>1.1875</v>
      </c>
      <c r="K1327" s="111">
        <v>0.75</v>
      </c>
      <c r="L1327">
        <v>0</v>
      </c>
    </row>
    <row r="1328" spans="1:12" x14ac:dyDescent="0.2">
      <c r="A1328" s="111" t="s">
        <v>1380</v>
      </c>
      <c r="B1328" s="132">
        <v>39</v>
      </c>
      <c r="C1328" s="111">
        <v>193.04</v>
      </c>
      <c r="D1328" s="111">
        <v>92.986360000000005</v>
      </c>
      <c r="E1328" s="111">
        <v>78</v>
      </c>
      <c r="F1328" s="111">
        <v>15</v>
      </c>
      <c r="G1328" s="133">
        <v>0.53333333333333333</v>
      </c>
      <c r="H1328" s="111">
        <v>30.6</v>
      </c>
      <c r="I1328" s="111">
        <v>1.1333333333333333</v>
      </c>
      <c r="J1328" s="111">
        <v>0.8666666666666667</v>
      </c>
      <c r="K1328" s="111">
        <v>2</v>
      </c>
      <c r="L1328">
        <v>0</v>
      </c>
    </row>
    <row r="1329" spans="1:12" x14ac:dyDescent="0.2">
      <c r="A1329" s="111" t="s">
        <v>1381</v>
      </c>
      <c r="B1329" s="132">
        <v>34</v>
      </c>
      <c r="C1329" s="111">
        <v>175.26</v>
      </c>
      <c r="D1329" s="111">
        <v>65.770840000000007</v>
      </c>
      <c r="E1329" s="111">
        <v>70.826982000000001</v>
      </c>
      <c r="F1329" s="111">
        <v>1</v>
      </c>
      <c r="G1329" s="133">
        <v>0</v>
      </c>
      <c r="H1329" s="111">
        <v>73</v>
      </c>
      <c r="I1329" s="111">
        <v>0</v>
      </c>
      <c r="J1329" s="111">
        <v>0</v>
      </c>
      <c r="K1329" s="111">
        <v>0</v>
      </c>
      <c r="L1329">
        <v>0</v>
      </c>
    </row>
    <row r="1330" spans="1:12" x14ac:dyDescent="0.2">
      <c r="A1330" s="111" t="s">
        <v>1382</v>
      </c>
      <c r="B1330" s="132">
        <v>33</v>
      </c>
      <c r="C1330" s="111">
        <v>182.88</v>
      </c>
      <c r="D1330" s="111">
        <v>77.110640000000004</v>
      </c>
      <c r="E1330" s="111">
        <v>75</v>
      </c>
      <c r="F1330" s="111">
        <v>8</v>
      </c>
      <c r="G1330" s="133">
        <v>0.875</v>
      </c>
      <c r="H1330" s="111">
        <v>40.375</v>
      </c>
      <c r="I1330" s="111">
        <v>0.625</v>
      </c>
      <c r="J1330" s="111">
        <v>0</v>
      </c>
      <c r="K1330" s="111">
        <v>0.625</v>
      </c>
      <c r="L1330">
        <v>0</v>
      </c>
    </row>
    <row r="1331" spans="1:12" x14ac:dyDescent="0.2">
      <c r="A1331" s="111" t="s">
        <v>1383</v>
      </c>
      <c r="B1331" s="132">
        <v>43</v>
      </c>
      <c r="C1331" s="111">
        <v>180.34</v>
      </c>
      <c r="D1331" s="111">
        <v>77.110640000000004</v>
      </c>
      <c r="E1331" s="111">
        <v>72.837137999999996</v>
      </c>
      <c r="F1331" s="111">
        <v>3</v>
      </c>
      <c r="G1331" s="133">
        <v>0</v>
      </c>
      <c r="H1331" s="111">
        <v>4.333333333333333</v>
      </c>
      <c r="I1331" s="111">
        <v>0.33333333333333331</v>
      </c>
      <c r="J1331" s="111">
        <v>1</v>
      </c>
      <c r="K1331" s="111">
        <v>0.33333333333333331</v>
      </c>
      <c r="L1331">
        <v>0</v>
      </c>
    </row>
    <row r="1332" spans="1:12" x14ac:dyDescent="0.2">
      <c r="A1332" s="111" t="s">
        <v>1384</v>
      </c>
      <c r="B1332" s="132">
        <v>35</v>
      </c>
      <c r="C1332" s="111">
        <v>180.34</v>
      </c>
      <c r="D1332" s="111">
        <v>83.914519999999996</v>
      </c>
      <c r="E1332" s="111">
        <v>72</v>
      </c>
      <c r="F1332" s="111">
        <v>1</v>
      </c>
      <c r="G1332" s="133">
        <v>0</v>
      </c>
      <c r="H1332" s="111">
        <v>0</v>
      </c>
      <c r="I1332" s="111">
        <v>0</v>
      </c>
      <c r="J1332" s="111">
        <v>0</v>
      </c>
      <c r="K1332" s="111">
        <v>0</v>
      </c>
      <c r="L1332">
        <v>0</v>
      </c>
    </row>
    <row r="1333" spans="1:12" x14ac:dyDescent="0.2">
      <c r="A1333" s="111" t="s">
        <v>1385</v>
      </c>
      <c r="B1333" s="132">
        <v>35</v>
      </c>
      <c r="C1333" s="111">
        <v>177.8</v>
      </c>
      <c r="D1333" s="111">
        <v>77.110640000000004</v>
      </c>
      <c r="E1333" s="111">
        <v>71.832059999999998</v>
      </c>
      <c r="F1333" s="111">
        <v>3</v>
      </c>
      <c r="G1333" s="133">
        <v>0.33333333333333331</v>
      </c>
      <c r="H1333" s="111">
        <v>12.333333333333334</v>
      </c>
      <c r="I1333" s="111">
        <v>1.6666666666666667</v>
      </c>
      <c r="J1333" s="111">
        <v>0.33333333333333331</v>
      </c>
      <c r="K1333" s="111">
        <v>1</v>
      </c>
      <c r="L1333">
        <v>0</v>
      </c>
    </row>
    <row r="1334" spans="1:12" x14ac:dyDescent="0.2">
      <c r="A1334" s="111" t="s">
        <v>1386</v>
      </c>
      <c r="B1334" s="132" t="s">
        <v>1596</v>
      </c>
      <c r="C1334" s="111">
        <v>182.88</v>
      </c>
      <c r="D1334" s="111">
        <v>77.110640000000004</v>
      </c>
      <c r="E1334" s="111">
        <v>73.842215999999993</v>
      </c>
      <c r="F1334" s="111">
        <v>1</v>
      </c>
      <c r="G1334" s="133">
        <v>0</v>
      </c>
      <c r="H1334" s="111">
        <v>18</v>
      </c>
      <c r="I1334" s="111">
        <v>3</v>
      </c>
      <c r="J1334" s="111">
        <v>4</v>
      </c>
      <c r="K1334" s="111">
        <v>2</v>
      </c>
      <c r="L1334">
        <v>0</v>
      </c>
    </row>
    <row r="1335" spans="1:12" x14ac:dyDescent="0.2">
      <c r="A1335" s="111" t="s">
        <v>1387</v>
      </c>
      <c r="B1335" s="132">
        <v>30</v>
      </c>
      <c r="C1335" s="111">
        <v>187.96</v>
      </c>
      <c r="D1335" s="111">
        <v>83.914519999999996</v>
      </c>
      <c r="E1335" s="111">
        <v>75</v>
      </c>
      <c r="F1335" s="111">
        <v>6</v>
      </c>
      <c r="G1335" s="133">
        <v>0.16666666666666666</v>
      </c>
      <c r="H1335" s="111">
        <v>41.666666666666664</v>
      </c>
      <c r="I1335" s="111">
        <v>0.5</v>
      </c>
      <c r="J1335" s="111">
        <v>0.5</v>
      </c>
      <c r="K1335" s="111">
        <v>0.5</v>
      </c>
      <c r="L1335">
        <v>0</v>
      </c>
    </row>
    <row r="1336" spans="1:12" x14ac:dyDescent="0.2">
      <c r="A1336" s="111" t="s">
        <v>1388</v>
      </c>
      <c r="B1336" s="132" t="s">
        <v>1596</v>
      </c>
      <c r="C1336" s="111">
        <v>177.8</v>
      </c>
      <c r="D1336" s="111">
        <v>97.522279999999995</v>
      </c>
      <c r="E1336" s="111">
        <v>71.832059999999998</v>
      </c>
      <c r="F1336" s="111">
        <v>2</v>
      </c>
      <c r="G1336" s="133">
        <v>1</v>
      </c>
      <c r="H1336" s="111">
        <v>9.5</v>
      </c>
      <c r="I1336" s="111">
        <v>1.5</v>
      </c>
      <c r="J1336" s="111">
        <v>0.5</v>
      </c>
      <c r="K1336" s="111">
        <v>2.5</v>
      </c>
      <c r="L1336">
        <v>0</v>
      </c>
    </row>
    <row r="1337" spans="1:12" x14ac:dyDescent="0.2">
      <c r="A1337" s="111" t="s">
        <v>1389</v>
      </c>
      <c r="B1337" s="132" t="s">
        <v>1596</v>
      </c>
      <c r="C1337" s="111">
        <v>180.34</v>
      </c>
      <c r="D1337" s="111">
        <v>104.32616</v>
      </c>
      <c r="E1337" s="111">
        <v>72.837137999999996</v>
      </c>
      <c r="F1337" s="111">
        <v>2</v>
      </c>
      <c r="G1337" s="133">
        <v>0</v>
      </c>
      <c r="H1337" s="111">
        <v>7</v>
      </c>
      <c r="I1337" s="111">
        <v>0</v>
      </c>
      <c r="J1337" s="111">
        <v>0</v>
      </c>
      <c r="K1337" s="111">
        <v>0</v>
      </c>
      <c r="L1337">
        <v>0</v>
      </c>
    </row>
    <row r="1338" spans="1:12" x14ac:dyDescent="0.2">
      <c r="A1338" s="111" t="s">
        <v>1390</v>
      </c>
      <c r="B1338" s="132">
        <v>33</v>
      </c>
      <c r="C1338" s="111">
        <v>180.34</v>
      </c>
      <c r="D1338" s="111">
        <v>77.110640000000004</v>
      </c>
      <c r="E1338" s="111">
        <v>71</v>
      </c>
      <c r="F1338" s="111">
        <v>2</v>
      </c>
      <c r="G1338" s="133">
        <v>0</v>
      </c>
      <c r="H1338" s="111">
        <v>20.5</v>
      </c>
      <c r="I1338" s="111">
        <v>1.5</v>
      </c>
      <c r="J1338" s="111">
        <v>0</v>
      </c>
      <c r="K1338" s="111">
        <v>0.5</v>
      </c>
      <c r="L1338">
        <v>0</v>
      </c>
    </row>
    <row r="1339" spans="1:12" x14ac:dyDescent="0.2">
      <c r="A1339" s="111" t="s">
        <v>1391</v>
      </c>
      <c r="B1339" s="132">
        <v>32</v>
      </c>
      <c r="C1339" s="111">
        <v>180.34</v>
      </c>
      <c r="D1339" s="111">
        <v>70.306759999999997</v>
      </c>
      <c r="E1339" s="111">
        <v>72.837137999999996</v>
      </c>
      <c r="F1339" s="111">
        <v>2</v>
      </c>
      <c r="G1339" s="133">
        <v>0</v>
      </c>
      <c r="H1339" s="111">
        <v>14.5</v>
      </c>
      <c r="I1339" s="111">
        <v>0</v>
      </c>
      <c r="J1339" s="111">
        <v>0</v>
      </c>
      <c r="K1339" s="111">
        <v>0</v>
      </c>
      <c r="L1339">
        <v>0</v>
      </c>
    </row>
    <row r="1340" spans="1:12" x14ac:dyDescent="0.2">
      <c r="A1340" s="111" t="s">
        <v>1392</v>
      </c>
      <c r="B1340" s="132">
        <v>26</v>
      </c>
      <c r="C1340" s="111">
        <v>193.04</v>
      </c>
      <c r="D1340" s="111">
        <v>83.914519999999996</v>
      </c>
      <c r="E1340" s="111">
        <v>75</v>
      </c>
      <c r="F1340" s="111">
        <v>2</v>
      </c>
      <c r="G1340" s="133">
        <v>0</v>
      </c>
      <c r="H1340" s="111">
        <v>43</v>
      </c>
      <c r="I1340" s="111">
        <v>0</v>
      </c>
      <c r="J1340" s="111">
        <v>0</v>
      </c>
      <c r="K1340" s="111">
        <v>0</v>
      </c>
      <c r="L1340">
        <v>1</v>
      </c>
    </row>
    <row r="1341" spans="1:12" x14ac:dyDescent="0.2">
      <c r="A1341" s="111" t="s">
        <v>1393</v>
      </c>
      <c r="B1341" s="132" t="s">
        <v>1596</v>
      </c>
      <c r="C1341" s="111">
        <v>182.88</v>
      </c>
      <c r="D1341" s="111">
        <v>108.86208000000001</v>
      </c>
      <c r="E1341" s="111">
        <v>73.842215999999993</v>
      </c>
      <c r="F1341" s="111">
        <v>2</v>
      </c>
      <c r="G1341" s="133">
        <v>0.5</v>
      </c>
      <c r="H1341" s="111">
        <v>7.5</v>
      </c>
      <c r="I1341" s="111">
        <v>1</v>
      </c>
      <c r="J1341" s="111">
        <v>0.5</v>
      </c>
      <c r="K1341" s="111">
        <v>2</v>
      </c>
      <c r="L1341">
        <v>0</v>
      </c>
    </row>
    <row r="1342" spans="1:12" x14ac:dyDescent="0.2">
      <c r="A1342" s="111" t="s">
        <v>1394</v>
      </c>
      <c r="B1342" s="132">
        <v>35</v>
      </c>
      <c r="C1342" s="111">
        <v>190.5</v>
      </c>
      <c r="D1342" s="111">
        <v>83.914519999999996</v>
      </c>
      <c r="E1342" s="111">
        <v>75</v>
      </c>
      <c r="F1342" s="111">
        <v>2</v>
      </c>
      <c r="G1342" s="133">
        <v>0</v>
      </c>
      <c r="H1342" s="111">
        <v>46</v>
      </c>
      <c r="I1342" s="111">
        <v>0</v>
      </c>
      <c r="J1342" s="111">
        <v>0</v>
      </c>
      <c r="K1342" s="111">
        <v>0</v>
      </c>
      <c r="L1342">
        <v>0</v>
      </c>
    </row>
    <row r="1343" spans="1:12" x14ac:dyDescent="0.2">
      <c r="A1343" s="111" t="s">
        <v>1395</v>
      </c>
      <c r="B1343" s="132" t="s">
        <v>1596</v>
      </c>
      <c r="C1343" s="111">
        <v>177.8</v>
      </c>
      <c r="D1343" s="111">
        <v>83.914519999999996</v>
      </c>
      <c r="E1343" s="111">
        <v>71.832059999999998</v>
      </c>
      <c r="F1343" s="111">
        <v>1</v>
      </c>
      <c r="G1343" s="133">
        <v>0</v>
      </c>
      <c r="H1343" s="111">
        <v>6</v>
      </c>
      <c r="I1343" s="111">
        <v>0</v>
      </c>
      <c r="J1343" s="111">
        <v>0</v>
      </c>
      <c r="K1343" s="111">
        <v>0</v>
      </c>
      <c r="L1343">
        <v>0</v>
      </c>
    </row>
    <row r="1344" spans="1:12" x14ac:dyDescent="0.2">
      <c r="A1344" s="111" t="s">
        <v>1396</v>
      </c>
      <c r="B1344" s="132" t="s">
        <v>1596</v>
      </c>
      <c r="C1344" s="111">
        <v>185.42</v>
      </c>
      <c r="D1344" s="111">
        <v>131.54168000000001</v>
      </c>
      <c r="E1344" s="111">
        <v>74.847294000000005</v>
      </c>
      <c r="F1344" s="111">
        <v>2</v>
      </c>
      <c r="G1344" s="133">
        <v>0.5</v>
      </c>
      <c r="H1344" s="111">
        <v>0</v>
      </c>
      <c r="I1344" s="111">
        <v>0.5</v>
      </c>
      <c r="J1344" s="111">
        <v>0.5</v>
      </c>
      <c r="K1344" s="111">
        <v>1</v>
      </c>
      <c r="L1344">
        <v>0</v>
      </c>
    </row>
    <row r="1345" spans="1:12" x14ac:dyDescent="0.2">
      <c r="A1345" s="111" t="s">
        <v>1397</v>
      </c>
      <c r="B1345" s="132" t="s">
        <v>1596</v>
      </c>
      <c r="C1345" s="111">
        <v>177.8</v>
      </c>
      <c r="D1345" s="111">
        <v>77.110640000000004</v>
      </c>
      <c r="E1345" s="111">
        <v>71.832059999999998</v>
      </c>
      <c r="F1345" s="111">
        <v>1</v>
      </c>
      <c r="G1345" s="133">
        <v>0</v>
      </c>
      <c r="H1345" s="111">
        <v>7</v>
      </c>
      <c r="I1345" s="111">
        <v>0</v>
      </c>
      <c r="J1345" s="111">
        <v>0</v>
      </c>
      <c r="K1345" s="111">
        <v>0</v>
      </c>
      <c r="L1345">
        <v>0</v>
      </c>
    </row>
    <row r="1346" spans="1:12" x14ac:dyDescent="0.2">
      <c r="A1346" s="111" t="s">
        <v>1398</v>
      </c>
      <c r="B1346" s="132">
        <v>26</v>
      </c>
      <c r="C1346" s="111">
        <v>177.8</v>
      </c>
      <c r="D1346" s="111">
        <v>70.306759999999997</v>
      </c>
      <c r="E1346" s="111">
        <v>70</v>
      </c>
      <c r="F1346" s="111">
        <v>3</v>
      </c>
      <c r="G1346" s="133">
        <v>1</v>
      </c>
      <c r="H1346" s="111">
        <v>32.666666666666664</v>
      </c>
      <c r="I1346" s="111">
        <v>0.33333333333333331</v>
      </c>
      <c r="J1346" s="111">
        <v>0.66666666666666663</v>
      </c>
      <c r="K1346" s="111">
        <v>1.6666666666666667</v>
      </c>
      <c r="L1346">
        <v>1</v>
      </c>
    </row>
    <row r="1347" spans="1:12" x14ac:dyDescent="0.2">
      <c r="A1347" s="111" t="s">
        <v>1399</v>
      </c>
      <c r="B1347" s="132">
        <v>29</v>
      </c>
      <c r="C1347" s="111">
        <v>180.34</v>
      </c>
      <c r="D1347" s="111">
        <v>65.770840000000007</v>
      </c>
      <c r="E1347" s="111">
        <v>70</v>
      </c>
      <c r="F1347" s="111">
        <v>9</v>
      </c>
      <c r="G1347" s="133">
        <v>0.55555555555555558</v>
      </c>
      <c r="H1347" s="111">
        <v>33.888888888888886</v>
      </c>
      <c r="I1347" s="111">
        <v>0.33333333333333331</v>
      </c>
      <c r="J1347" s="111">
        <v>1.1111111111111112</v>
      </c>
      <c r="K1347" s="111">
        <v>0.88888888888888884</v>
      </c>
      <c r="L1347">
        <v>0</v>
      </c>
    </row>
    <row r="1348" spans="1:12" x14ac:dyDescent="0.2">
      <c r="A1348" s="111" t="s">
        <v>1400</v>
      </c>
      <c r="B1348" s="132">
        <v>34</v>
      </c>
      <c r="C1348" s="111">
        <v>193.04</v>
      </c>
      <c r="D1348" s="111">
        <v>108.86208000000001</v>
      </c>
      <c r="E1348" s="111">
        <v>80</v>
      </c>
      <c r="F1348" s="111">
        <v>10</v>
      </c>
      <c r="G1348" s="133">
        <v>0.8</v>
      </c>
      <c r="H1348" s="111">
        <v>54.6</v>
      </c>
      <c r="I1348" s="111">
        <v>1.6</v>
      </c>
      <c r="J1348" s="111">
        <v>0</v>
      </c>
      <c r="K1348" s="111">
        <v>1.6</v>
      </c>
      <c r="L1348">
        <v>0</v>
      </c>
    </row>
    <row r="1349" spans="1:12" x14ac:dyDescent="0.2">
      <c r="A1349" s="111" t="s">
        <v>1401</v>
      </c>
      <c r="B1349" s="132">
        <v>32</v>
      </c>
      <c r="C1349" s="111">
        <v>180.34</v>
      </c>
      <c r="D1349" s="111">
        <v>77.110640000000004</v>
      </c>
      <c r="E1349" s="111">
        <v>74</v>
      </c>
      <c r="F1349" s="111">
        <v>1</v>
      </c>
      <c r="G1349" s="133">
        <v>0</v>
      </c>
      <c r="H1349" s="111">
        <v>8</v>
      </c>
      <c r="I1349" s="111">
        <v>0</v>
      </c>
      <c r="J1349" s="111">
        <v>0</v>
      </c>
      <c r="K1349" s="111">
        <v>0</v>
      </c>
      <c r="L1349">
        <v>0</v>
      </c>
    </row>
    <row r="1350" spans="1:12" x14ac:dyDescent="0.2">
      <c r="A1350" s="111" t="s">
        <v>1553</v>
      </c>
      <c r="B1350" s="132">
        <v>30</v>
      </c>
      <c r="C1350" s="111">
        <v>167.64</v>
      </c>
      <c r="D1350" s="111">
        <v>61.234920000000002</v>
      </c>
      <c r="E1350" s="111">
        <v>67</v>
      </c>
      <c r="F1350" s="111">
        <v>11</v>
      </c>
      <c r="G1350" s="133">
        <v>0.72727272727272729</v>
      </c>
      <c r="H1350" s="111">
        <v>73.090909090909093</v>
      </c>
      <c r="I1350" s="111">
        <v>1.3636363636363635</v>
      </c>
      <c r="J1350" s="111">
        <v>1</v>
      </c>
      <c r="K1350" s="111">
        <v>1.7272727272727273</v>
      </c>
      <c r="L1350">
        <v>0</v>
      </c>
    </row>
    <row r="1351" spans="1:12" x14ac:dyDescent="0.2">
      <c r="A1351" s="111" t="s">
        <v>1580</v>
      </c>
      <c r="B1351" s="132">
        <v>32</v>
      </c>
      <c r="C1351" s="111">
        <v>177.8</v>
      </c>
      <c r="D1351" s="111">
        <v>70.306759999999997</v>
      </c>
      <c r="E1351" s="111">
        <v>72</v>
      </c>
      <c r="F1351" s="111">
        <v>11</v>
      </c>
      <c r="G1351" s="133">
        <v>0.72727272727272729</v>
      </c>
      <c r="H1351" s="111">
        <v>46.363636363636367</v>
      </c>
      <c r="I1351" s="111">
        <v>1.2727272727272727</v>
      </c>
      <c r="J1351" s="111">
        <v>0.45454545454545453</v>
      </c>
      <c r="K1351" s="111">
        <v>3</v>
      </c>
      <c r="L1351">
        <v>0</v>
      </c>
    </row>
    <row r="1352" spans="1:12" x14ac:dyDescent="0.2">
      <c r="A1352" s="111" t="s">
        <v>1584</v>
      </c>
      <c r="B1352" s="132">
        <v>29</v>
      </c>
      <c r="C1352" s="111">
        <v>187.96</v>
      </c>
      <c r="D1352" s="111">
        <v>70.306759999999997</v>
      </c>
      <c r="E1352" s="111">
        <v>75.852372000000003</v>
      </c>
      <c r="F1352" s="111">
        <v>2</v>
      </c>
      <c r="G1352" s="133">
        <v>0</v>
      </c>
      <c r="H1352" s="111">
        <v>30</v>
      </c>
      <c r="I1352" s="111">
        <v>0.5</v>
      </c>
      <c r="J1352" s="111">
        <v>0</v>
      </c>
      <c r="K1352" s="111">
        <v>1</v>
      </c>
      <c r="L1352">
        <v>0</v>
      </c>
    </row>
    <row r="1353" spans="1:12" x14ac:dyDescent="0.2">
      <c r="A1353" s="111" t="s">
        <v>1579</v>
      </c>
      <c r="B1353" s="132">
        <v>28</v>
      </c>
      <c r="C1353" s="111">
        <v>180.34</v>
      </c>
      <c r="D1353" s="111">
        <v>77.110640000000004</v>
      </c>
      <c r="E1353" s="111">
        <v>75</v>
      </c>
      <c r="F1353" s="111">
        <v>8</v>
      </c>
      <c r="G1353" s="133">
        <v>0.5</v>
      </c>
      <c r="H1353" s="111">
        <v>15</v>
      </c>
      <c r="I1353" s="111">
        <v>1.5</v>
      </c>
      <c r="J1353" s="111">
        <v>2.375</v>
      </c>
      <c r="K1353" s="111">
        <v>2.125</v>
      </c>
      <c r="L1353">
        <v>0</v>
      </c>
    </row>
    <row r="1354" spans="1:12" x14ac:dyDescent="0.2">
      <c r="A1354" s="111" t="s">
        <v>1402</v>
      </c>
      <c r="B1354" s="132">
        <v>33</v>
      </c>
      <c r="C1354" s="111">
        <v>175.26</v>
      </c>
      <c r="D1354" s="111">
        <v>70.306759999999997</v>
      </c>
      <c r="E1354" s="111">
        <v>71</v>
      </c>
      <c r="F1354" s="111">
        <v>4</v>
      </c>
      <c r="G1354" s="133">
        <v>0.5</v>
      </c>
      <c r="H1354" s="111">
        <v>31.5</v>
      </c>
      <c r="I1354" s="111">
        <v>0.5</v>
      </c>
      <c r="J1354" s="111">
        <v>0.5</v>
      </c>
      <c r="K1354" s="111">
        <v>0.5</v>
      </c>
      <c r="L1354">
        <v>0</v>
      </c>
    </row>
    <row r="1355" spans="1:12" x14ac:dyDescent="0.2">
      <c r="A1355" s="111" t="s">
        <v>1403</v>
      </c>
      <c r="B1355" s="132" t="s">
        <v>1596</v>
      </c>
      <c r="C1355" s="111">
        <v>180.34</v>
      </c>
      <c r="D1355" s="111">
        <v>104.32616</v>
      </c>
      <c r="E1355" s="111">
        <v>72.837137999999996</v>
      </c>
      <c r="F1355" s="111">
        <v>1</v>
      </c>
      <c r="G1355" s="133">
        <v>0</v>
      </c>
      <c r="H1355" s="111">
        <v>4</v>
      </c>
      <c r="I1355" s="111">
        <v>0</v>
      </c>
      <c r="J1355" s="111">
        <v>0</v>
      </c>
      <c r="K1355" s="111">
        <v>0</v>
      </c>
      <c r="L1355">
        <v>0</v>
      </c>
    </row>
    <row r="1356" spans="1:12" x14ac:dyDescent="0.2">
      <c r="A1356" s="111" t="s">
        <v>1404</v>
      </c>
      <c r="B1356" s="132">
        <v>38</v>
      </c>
      <c r="C1356" s="111">
        <v>170.18</v>
      </c>
      <c r="D1356" s="111">
        <v>70.306759999999997</v>
      </c>
      <c r="E1356" s="111">
        <v>70</v>
      </c>
      <c r="F1356" s="111">
        <v>10</v>
      </c>
      <c r="G1356" s="133">
        <v>0.4</v>
      </c>
      <c r="H1356" s="111">
        <v>36.4</v>
      </c>
      <c r="I1356" s="111">
        <v>0.1</v>
      </c>
      <c r="J1356" s="111">
        <v>0</v>
      </c>
      <c r="K1356" s="111">
        <v>0.3</v>
      </c>
      <c r="L1356">
        <v>1</v>
      </c>
    </row>
    <row r="1357" spans="1:12" x14ac:dyDescent="0.2">
      <c r="A1357" s="111" t="s">
        <v>1405</v>
      </c>
      <c r="B1357" s="132">
        <v>31</v>
      </c>
      <c r="C1357" s="111">
        <v>177.8</v>
      </c>
      <c r="D1357" s="111">
        <v>77.110640000000004</v>
      </c>
      <c r="E1357" s="111">
        <v>71</v>
      </c>
      <c r="F1357" s="111">
        <v>2</v>
      </c>
      <c r="G1357" s="133">
        <v>0</v>
      </c>
      <c r="H1357" s="111">
        <v>0.5</v>
      </c>
      <c r="I1357" s="111">
        <v>0</v>
      </c>
      <c r="J1357" s="111">
        <v>0</v>
      </c>
      <c r="K1357" s="111">
        <v>0</v>
      </c>
      <c r="L1357">
        <v>1</v>
      </c>
    </row>
    <row r="1358" spans="1:12" x14ac:dyDescent="0.2">
      <c r="A1358" s="111" t="s">
        <v>1406</v>
      </c>
      <c r="B1358" s="132">
        <v>33</v>
      </c>
      <c r="C1358" s="111">
        <v>170.18</v>
      </c>
      <c r="D1358" s="111">
        <v>61.234920000000002</v>
      </c>
      <c r="E1358" s="111">
        <v>68</v>
      </c>
      <c r="F1358" s="111">
        <v>12</v>
      </c>
      <c r="G1358" s="133">
        <v>0.66666666666666663</v>
      </c>
      <c r="H1358" s="111">
        <v>49.666666666666664</v>
      </c>
      <c r="I1358" s="111">
        <v>1.3333333333333333</v>
      </c>
      <c r="J1358" s="111">
        <v>8.3333333333333329E-2</v>
      </c>
      <c r="K1358" s="111">
        <v>0.91666666666666663</v>
      </c>
      <c r="L1358">
        <v>0</v>
      </c>
    </row>
    <row r="1359" spans="1:12" x14ac:dyDescent="0.2">
      <c r="A1359" s="111" t="s">
        <v>1407</v>
      </c>
      <c r="B1359" s="132">
        <v>30</v>
      </c>
      <c r="C1359" s="111">
        <v>193.04</v>
      </c>
      <c r="D1359" s="111">
        <v>83.914519999999996</v>
      </c>
      <c r="E1359" s="111">
        <v>78</v>
      </c>
      <c r="F1359" s="111">
        <v>7</v>
      </c>
      <c r="G1359" s="133">
        <v>0.5714285714285714</v>
      </c>
      <c r="H1359" s="111">
        <v>20.285714285714285</v>
      </c>
      <c r="I1359" s="111">
        <v>1.5714285714285714</v>
      </c>
      <c r="J1359" s="111">
        <v>1.5714285714285714</v>
      </c>
      <c r="K1359" s="111">
        <v>3.4285714285714284</v>
      </c>
      <c r="L1359">
        <v>0</v>
      </c>
    </row>
    <row r="1360" spans="1:12" x14ac:dyDescent="0.2">
      <c r="A1360" s="111" t="s">
        <v>1408</v>
      </c>
      <c r="B1360" s="132">
        <v>30</v>
      </c>
      <c r="C1360" s="111">
        <v>177.8</v>
      </c>
      <c r="D1360" s="111">
        <v>77.110640000000004</v>
      </c>
      <c r="E1360" s="111">
        <v>70</v>
      </c>
      <c r="F1360" s="111">
        <v>3</v>
      </c>
      <c r="G1360" s="133">
        <v>0.66666666666666663</v>
      </c>
      <c r="H1360" s="111">
        <v>72</v>
      </c>
      <c r="I1360" s="111">
        <v>0.33333333333333331</v>
      </c>
      <c r="J1360" s="111">
        <v>0.33333333333333331</v>
      </c>
      <c r="K1360" s="111">
        <v>2.3333333333333335</v>
      </c>
      <c r="L1360">
        <v>0</v>
      </c>
    </row>
    <row r="1361" spans="1:12" x14ac:dyDescent="0.2">
      <c r="A1361" s="111" t="s">
        <v>1409</v>
      </c>
      <c r="B1361" s="132">
        <v>30</v>
      </c>
      <c r="C1361" s="111">
        <v>170.18</v>
      </c>
      <c r="D1361" s="111">
        <v>56.698999999999998</v>
      </c>
      <c r="E1361" s="111">
        <v>65</v>
      </c>
      <c r="F1361" s="111">
        <v>2</v>
      </c>
      <c r="G1361" s="133">
        <v>0</v>
      </c>
      <c r="H1361" s="111">
        <v>48</v>
      </c>
      <c r="I1361" s="111">
        <v>0</v>
      </c>
      <c r="J1361" s="111">
        <v>0</v>
      </c>
      <c r="K1361" s="111">
        <v>0.5</v>
      </c>
      <c r="L1361">
        <v>0</v>
      </c>
    </row>
    <row r="1362" spans="1:12" x14ac:dyDescent="0.2">
      <c r="A1362" s="111" t="s">
        <v>1410</v>
      </c>
      <c r="B1362" s="132">
        <v>38</v>
      </c>
      <c r="C1362" s="111">
        <v>170.18</v>
      </c>
      <c r="D1362" s="111">
        <v>65.770840000000007</v>
      </c>
      <c r="E1362" s="111">
        <v>69</v>
      </c>
      <c r="F1362" s="111">
        <v>5</v>
      </c>
      <c r="G1362" s="133">
        <v>0.6</v>
      </c>
      <c r="H1362" s="111">
        <v>22.6</v>
      </c>
      <c r="I1362" s="111">
        <v>3</v>
      </c>
      <c r="J1362" s="111">
        <v>0.4</v>
      </c>
      <c r="K1362" s="111">
        <v>2.8</v>
      </c>
      <c r="L1362">
        <v>0</v>
      </c>
    </row>
    <row r="1363" spans="1:12" x14ac:dyDescent="0.2">
      <c r="A1363" s="111" t="s">
        <v>1411</v>
      </c>
      <c r="B1363" s="132">
        <v>24</v>
      </c>
      <c r="C1363" s="111">
        <v>167.64</v>
      </c>
      <c r="D1363" s="111">
        <v>61.234920000000002</v>
      </c>
      <c r="E1363" s="111">
        <v>73</v>
      </c>
      <c r="F1363" s="111">
        <v>3</v>
      </c>
      <c r="G1363" s="133">
        <v>0.66666666666666663</v>
      </c>
      <c r="H1363" s="111">
        <v>43.666666666666664</v>
      </c>
      <c r="I1363" s="111">
        <v>0.66666666666666663</v>
      </c>
      <c r="J1363" s="111">
        <v>0.66666666666666663</v>
      </c>
      <c r="K1363" s="111">
        <v>0</v>
      </c>
      <c r="L1363">
        <v>1</v>
      </c>
    </row>
    <row r="1364" spans="1:12" x14ac:dyDescent="0.2">
      <c r="A1364" s="111" t="s">
        <v>1412</v>
      </c>
      <c r="B1364" s="132">
        <v>27</v>
      </c>
      <c r="C1364" s="111">
        <v>154.94</v>
      </c>
      <c r="D1364" s="111">
        <v>52.163080000000001</v>
      </c>
      <c r="E1364" s="111">
        <v>60</v>
      </c>
      <c r="F1364" s="111">
        <v>3</v>
      </c>
      <c r="G1364" s="133">
        <v>1</v>
      </c>
      <c r="H1364" s="111">
        <v>68.333333333333329</v>
      </c>
      <c r="I1364" s="111">
        <v>1</v>
      </c>
      <c r="J1364" s="111">
        <v>0</v>
      </c>
      <c r="K1364" s="111">
        <v>2</v>
      </c>
      <c r="L1364">
        <v>0</v>
      </c>
    </row>
    <row r="1365" spans="1:12" x14ac:dyDescent="0.2">
      <c r="A1365" s="111" t="s">
        <v>1413</v>
      </c>
      <c r="B1365" s="132">
        <v>47</v>
      </c>
      <c r="C1365" s="111">
        <v>185.42</v>
      </c>
      <c r="D1365" s="111">
        <v>124.73779999999999</v>
      </c>
      <c r="E1365" s="111">
        <v>74.847294000000005</v>
      </c>
      <c r="F1365" s="111">
        <v>2</v>
      </c>
      <c r="G1365" s="133">
        <v>0.5</v>
      </c>
      <c r="H1365" s="111">
        <v>17</v>
      </c>
      <c r="I1365" s="111">
        <v>0.5</v>
      </c>
      <c r="J1365" s="111">
        <v>0</v>
      </c>
      <c r="K1365" s="111">
        <v>0.5</v>
      </c>
      <c r="L1365">
        <v>0</v>
      </c>
    </row>
    <row r="1366" spans="1:12" x14ac:dyDescent="0.2">
      <c r="A1366" s="111" t="s">
        <v>1414</v>
      </c>
      <c r="B1366" s="132">
        <v>29</v>
      </c>
      <c r="C1366" s="111">
        <v>185.42</v>
      </c>
      <c r="D1366" s="111">
        <v>70.306759999999997</v>
      </c>
      <c r="E1366" s="111">
        <v>72</v>
      </c>
      <c r="F1366" s="111">
        <v>1</v>
      </c>
      <c r="G1366" s="133">
        <v>0</v>
      </c>
      <c r="H1366" s="111">
        <v>35</v>
      </c>
      <c r="I1366" s="111">
        <v>3</v>
      </c>
      <c r="J1366" s="111">
        <v>1</v>
      </c>
      <c r="K1366" s="111">
        <v>9</v>
      </c>
      <c r="L1366">
        <v>0</v>
      </c>
    </row>
    <row r="1367" spans="1:12" x14ac:dyDescent="0.2">
      <c r="A1367" s="111" t="s">
        <v>1415</v>
      </c>
      <c r="B1367" s="132">
        <v>47</v>
      </c>
      <c r="C1367" s="111">
        <v>182.88</v>
      </c>
      <c r="D1367" s="111">
        <v>195.04455999999999</v>
      </c>
      <c r="E1367" s="111">
        <v>73.842215999999993</v>
      </c>
      <c r="F1367" s="111">
        <v>2</v>
      </c>
      <c r="G1367" s="133">
        <v>0</v>
      </c>
      <c r="H1367" s="111">
        <v>0</v>
      </c>
      <c r="I1367" s="111">
        <v>0</v>
      </c>
      <c r="J1367" s="111">
        <v>0</v>
      </c>
      <c r="K1367" s="111">
        <v>0</v>
      </c>
      <c r="L1367">
        <v>0</v>
      </c>
    </row>
    <row r="1368" spans="1:12" x14ac:dyDescent="0.2">
      <c r="A1368" s="111" t="s">
        <v>1416</v>
      </c>
      <c r="B1368" s="132">
        <v>30</v>
      </c>
      <c r="C1368" s="111">
        <v>185.42</v>
      </c>
      <c r="D1368" s="111">
        <v>70.306759999999997</v>
      </c>
      <c r="E1368" s="111">
        <v>73</v>
      </c>
      <c r="F1368" s="111">
        <v>11</v>
      </c>
      <c r="G1368" s="133">
        <v>0.54545454545454541</v>
      </c>
      <c r="H1368" s="111">
        <v>20.818181818181817</v>
      </c>
      <c r="I1368" s="111">
        <v>0.27272727272727271</v>
      </c>
      <c r="J1368" s="111">
        <v>0.90909090909090906</v>
      </c>
      <c r="K1368" s="111">
        <v>9.0909090909090912E-2</v>
      </c>
      <c r="L1368">
        <v>0</v>
      </c>
    </row>
    <row r="1369" spans="1:12" x14ac:dyDescent="0.2">
      <c r="A1369" s="111" t="s">
        <v>1417</v>
      </c>
      <c r="B1369" s="132">
        <v>36</v>
      </c>
      <c r="C1369" s="111">
        <v>172.72</v>
      </c>
      <c r="D1369" s="111">
        <v>83.914519999999996</v>
      </c>
      <c r="E1369" s="111">
        <v>71</v>
      </c>
      <c r="F1369" s="111">
        <v>6</v>
      </c>
      <c r="G1369" s="133">
        <v>0.33333333333333331</v>
      </c>
      <c r="H1369" s="111">
        <v>22.166666666666668</v>
      </c>
      <c r="I1369" s="111">
        <v>1.5</v>
      </c>
      <c r="J1369" s="111">
        <v>0</v>
      </c>
      <c r="K1369" s="111">
        <v>0.66666666666666663</v>
      </c>
      <c r="L1369">
        <v>0</v>
      </c>
    </row>
    <row r="1370" spans="1:12" x14ac:dyDescent="0.2">
      <c r="A1370" s="111" t="s">
        <v>1418</v>
      </c>
      <c r="B1370" s="132">
        <v>25</v>
      </c>
      <c r="C1370" s="111">
        <v>170.18</v>
      </c>
      <c r="D1370" s="111">
        <v>65.770840000000007</v>
      </c>
      <c r="E1370" s="111">
        <v>69</v>
      </c>
      <c r="F1370" s="111">
        <v>1</v>
      </c>
      <c r="G1370" s="133">
        <v>0</v>
      </c>
      <c r="H1370" s="111">
        <v>88</v>
      </c>
      <c r="I1370" s="111">
        <v>0</v>
      </c>
      <c r="J1370" s="111">
        <v>0</v>
      </c>
      <c r="K1370" s="111">
        <v>0</v>
      </c>
      <c r="L1370">
        <v>1</v>
      </c>
    </row>
    <row r="1371" spans="1:12" x14ac:dyDescent="0.2">
      <c r="A1371" s="111" t="s">
        <v>1419</v>
      </c>
      <c r="B1371" s="132" t="s">
        <v>1596</v>
      </c>
      <c r="C1371" s="111">
        <v>190.5</v>
      </c>
      <c r="D1371" s="111">
        <v>95.254320000000007</v>
      </c>
      <c r="E1371" s="111">
        <v>76.85745</v>
      </c>
      <c r="F1371" s="111">
        <v>1</v>
      </c>
      <c r="G1371" s="133">
        <v>0</v>
      </c>
      <c r="H1371" s="111">
        <v>0</v>
      </c>
      <c r="I1371" s="111">
        <v>0</v>
      </c>
      <c r="J1371" s="111">
        <v>0</v>
      </c>
      <c r="K1371" s="111">
        <v>0</v>
      </c>
      <c r="L1371">
        <v>0</v>
      </c>
    </row>
    <row r="1372" spans="1:12" x14ac:dyDescent="0.2">
      <c r="A1372" s="111" t="s">
        <v>1420</v>
      </c>
      <c r="B1372" s="132">
        <v>35</v>
      </c>
      <c r="C1372" s="111">
        <v>185.42</v>
      </c>
      <c r="D1372" s="111">
        <v>83.914519999999996</v>
      </c>
      <c r="E1372" s="111">
        <v>78</v>
      </c>
      <c r="F1372" s="111">
        <v>14</v>
      </c>
      <c r="G1372" s="133">
        <v>0.7142857142857143</v>
      </c>
      <c r="H1372" s="111">
        <v>25.428571428571427</v>
      </c>
      <c r="I1372" s="111">
        <v>1.7857142857142858</v>
      </c>
      <c r="J1372" s="111">
        <v>1.0714285714285714</v>
      </c>
      <c r="K1372" s="111">
        <v>3.7142857142857144</v>
      </c>
      <c r="L1372">
        <v>0</v>
      </c>
    </row>
    <row r="1373" spans="1:12" x14ac:dyDescent="0.2">
      <c r="A1373" s="111" t="s">
        <v>1421</v>
      </c>
      <c r="B1373" s="132">
        <v>33</v>
      </c>
      <c r="C1373" s="111">
        <v>175.26</v>
      </c>
      <c r="D1373" s="111">
        <v>77.110640000000004</v>
      </c>
      <c r="E1373" s="111">
        <v>70</v>
      </c>
      <c r="F1373" s="111">
        <v>20</v>
      </c>
      <c r="G1373" s="133">
        <v>0.65</v>
      </c>
      <c r="H1373" s="111">
        <v>37.4</v>
      </c>
      <c r="I1373" s="111">
        <v>0.55000000000000004</v>
      </c>
      <c r="J1373" s="111">
        <v>0.3</v>
      </c>
      <c r="K1373" s="111">
        <v>0.95</v>
      </c>
      <c r="L1373">
        <v>0</v>
      </c>
    </row>
    <row r="1374" spans="1:12" x14ac:dyDescent="0.2">
      <c r="A1374" s="111" t="s">
        <v>1422</v>
      </c>
      <c r="B1374" s="132">
        <v>30</v>
      </c>
      <c r="C1374" s="111">
        <v>177.8</v>
      </c>
      <c r="D1374" s="111">
        <v>77.110640000000004</v>
      </c>
      <c r="E1374" s="111">
        <v>71</v>
      </c>
      <c r="F1374" s="111">
        <v>3</v>
      </c>
      <c r="G1374" s="133">
        <v>0.33333333333333331</v>
      </c>
      <c r="H1374" s="111">
        <v>28.666666666666668</v>
      </c>
      <c r="I1374" s="111">
        <v>1</v>
      </c>
      <c r="J1374" s="111">
        <v>0</v>
      </c>
      <c r="K1374" s="111">
        <v>1.3333333333333333</v>
      </c>
      <c r="L1374">
        <v>0</v>
      </c>
    </row>
    <row r="1375" spans="1:12" x14ac:dyDescent="0.2">
      <c r="A1375" s="111" t="s">
        <v>1423</v>
      </c>
      <c r="B1375" s="132">
        <v>32</v>
      </c>
      <c r="C1375" s="111">
        <v>182.88</v>
      </c>
      <c r="D1375" s="111">
        <v>83.914519999999996</v>
      </c>
      <c r="E1375" s="111">
        <v>76</v>
      </c>
      <c r="F1375" s="111">
        <v>6</v>
      </c>
      <c r="G1375" s="133">
        <v>0.66666666666666663</v>
      </c>
      <c r="H1375" s="111">
        <v>21</v>
      </c>
      <c r="I1375" s="111">
        <v>0.16666666666666666</v>
      </c>
      <c r="J1375" s="111">
        <v>0</v>
      </c>
      <c r="K1375" s="111">
        <v>0</v>
      </c>
      <c r="L1375">
        <v>0</v>
      </c>
    </row>
    <row r="1376" spans="1:12" x14ac:dyDescent="0.2">
      <c r="A1376" s="111" t="s">
        <v>1424</v>
      </c>
      <c r="B1376" s="132">
        <v>34</v>
      </c>
      <c r="C1376" s="111">
        <v>187.96</v>
      </c>
      <c r="D1376" s="111">
        <v>92.986360000000005</v>
      </c>
      <c r="E1376" s="111">
        <v>74</v>
      </c>
      <c r="F1376" s="111">
        <v>12</v>
      </c>
      <c r="G1376" s="133">
        <v>0.58333333333333337</v>
      </c>
      <c r="H1376" s="111">
        <v>31.666666666666668</v>
      </c>
      <c r="I1376" s="111">
        <v>0.25</v>
      </c>
      <c r="J1376" s="111">
        <v>0.25</v>
      </c>
      <c r="K1376" s="111">
        <v>0.66666666666666663</v>
      </c>
      <c r="L1376">
        <v>0</v>
      </c>
    </row>
    <row r="1377" spans="1:12" x14ac:dyDescent="0.2">
      <c r="A1377" s="111" t="s">
        <v>1425</v>
      </c>
      <c r="B1377" s="132">
        <v>32</v>
      </c>
      <c r="C1377" s="111">
        <v>170.18</v>
      </c>
      <c r="D1377" s="111">
        <v>65.770840000000007</v>
      </c>
      <c r="E1377" s="111">
        <v>68</v>
      </c>
      <c r="F1377" s="111">
        <v>17</v>
      </c>
      <c r="G1377" s="133">
        <v>0.58823529411764708</v>
      </c>
      <c r="H1377" s="111">
        <v>20.176470588235293</v>
      </c>
      <c r="I1377" s="111">
        <v>2.5294117647058822</v>
      </c>
      <c r="J1377" s="111">
        <v>0.94117647058823528</v>
      </c>
      <c r="K1377" s="111">
        <v>1.9411764705882353</v>
      </c>
      <c r="L1377">
        <v>0</v>
      </c>
    </row>
    <row r="1378" spans="1:12" x14ac:dyDescent="0.2">
      <c r="A1378" s="111" t="s">
        <v>1426</v>
      </c>
      <c r="B1378" s="132">
        <v>25</v>
      </c>
      <c r="C1378" s="111">
        <v>170.18</v>
      </c>
      <c r="D1378" s="111">
        <v>61.234920000000002</v>
      </c>
      <c r="E1378" s="111">
        <v>70</v>
      </c>
      <c r="F1378" s="111">
        <v>4</v>
      </c>
      <c r="G1378" s="133">
        <v>1</v>
      </c>
      <c r="H1378" s="111">
        <v>49.75</v>
      </c>
      <c r="I1378" s="111">
        <v>0</v>
      </c>
      <c r="J1378" s="111">
        <v>0</v>
      </c>
      <c r="K1378" s="111">
        <v>0</v>
      </c>
      <c r="L1378">
        <v>1</v>
      </c>
    </row>
    <row r="1379" spans="1:12" x14ac:dyDescent="0.2">
      <c r="A1379" s="111" t="s">
        <v>1427</v>
      </c>
      <c r="B1379" s="132" t="s">
        <v>1596</v>
      </c>
      <c r="C1379" s="111">
        <v>185.42</v>
      </c>
      <c r="D1379" s="111">
        <v>185.97272000000001</v>
      </c>
      <c r="E1379" s="111">
        <v>74.847294000000005</v>
      </c>
      <c r="F1379" s="111">
        <v>1</v>
      </c>
      <c r="G1379" s="133">
        <v>0</v>
      </c>
      <c r="H1379" s="111">
        <v>1</v>
      </c>
      <c r="I1379" s="111">
        <v>0</v>
      </c>
      <c r="J1379" s="111">
        <v>0</v>
      </c>
      <c r="K1379" s="111">
        <v>0</v>
      </c>
      <c r="L1379">
        <v>0</v>
      </c>
    </row>
    <row r="1380" spans="1:12" x14ac:dyDescent="0.2">
      <c r="A1380" s="111" t="s">
        <v>1428</v>
      </c>
      <c r="B1380" s="132">
        <v>29</v>
      </c>
      <c r="C1380" s="111">
        <v>175.26</v>
      </c>
      <c r="D1380" s="111">
        <v>65.770840000000007</v>
      </c>
      <c r="E1380" s="111">
        <v>70</v>
      </c>
      <c r="F1380" s="111">
        <v>3</v>
      </c>
      <c r="G1380" s="133">
        <v>0.66666666666666663</v>
      </c>
      <c r="H1380" s="111">
        <v>40.333333333333336</v>
      </c>
      <c r="I1380" s="111">
        <v>0.33333333333333331</v>
      </c>
      <c r="J1380" s="111">
        <v>0.33333333333333331</v>
      </c>
      <c r="K1380" s="111">
        <v>2</v>
      </c>
      <c r="L1380">
        <v>0</v>
      </c>
    </row>
    <row r="1381" spans="1:12" x14ac:dyDescent="0.2">
      <c r="A1381" s="111" t="s">
        <v>1429</v>
      </c>
      <c r="B1381" s="132">
        <v>38</v>
      </c>
      <c r="C1381" s="111">
        <v>172.72</v>
      </c>
      <c r="D1381" s="111">
        <v>70.306759999999997</v>
      </c>
      <c r="E1381" s="111">
        <v>70</v>
      </c>
      <c r="F1381" s="111">
        <v>4</v>
      </c>
      <c r="G1381" s="133">
        <v>0.25</v>
      </c>
      <c r="H1381" s="111">
        <v>13</v>
      </c>
      <c r="I1381" s="111">
        <v>0.5</v>
      </c>
      <c r="J1381" s="111">
        <v>1.25</v>
      </c>
      <c r="K1381" s="111">
        <v>0.25</v>
      </c>
      <c r="L1381">
        <v>0</v>
      </c>
    </row>
    <row r="1382" spans="1:12" x14ac:dyDescent="0.2">
      <c r="A1382" s="111" t="s">
        <v>1430</v>
      </c>
      <c r="B1382" s="132">
        <v>39</v>
      </c>
      <c r="C1382" s="111">
        <v>177.8</v>
      </c>
      <c r="D1382" s="111">
        <v>77.110640000000004</v>
      </c>
      <c r="E1382" s="111">
        <v>71.832059999999998</v>
      </c>
      <c r="F1382" s="111">
        <v>4</v>
      </c>
      <c r="G1382" s="133">
        <v>0</v>
      </c>
      <c r="H1382" s="111">
        <v>14.75</v>
      </c>
      <c r="I1382" s="111">
        <v>0</v>
      </c>
      <c r="J1382" s="111">
        <v>0</v>
      </c>
      <c r="K1382" s="111">
        <v>0</v>
      </c>
      <c r="L1382">
        <v>0</v>
      </c>
    </row>
    <row r="1383" spans="1:12" x14ac:dyDescent="0.2">
      <c r="A1383" s="111" t="s">
        <v>1431</v>
      </c>
      <c r="B1383" s="132">
        <v>35</v>
      </c>
      <c r="C1383" s="111">
        <v>182.88</v>
      </c>
      <c r="D1383" s="111">
        <v>92.986360000000005</v>
      </c>
      <c r="E1383" s="111">
        <v>74</v>
      </c>
      <c r="F1383" s="111">
        <v>18</v>
      </c>
      <c r="G1383" s="133">
        <v>0.5</v>
      </c>
      <c r="H1383" s="111">
        <v>27.111111111111111</v>
      </c>
      <c r="I1383" s="111">
        <v>1.0555555555555556</v>
      </c>
      <c r="J1383" s="111">
        <v>0.61111111111111116</v>
      </c>
      <c r="K1383" s="111">
        <v>0.66666666666666663</v>
      </c>
      <c r="L1383">
        <v>0</v>
      </c>
    </row>
    <row r="1384" spans="1:12" x14ac:dyDescent="0.2">
      <c r="A1384" s="111" t="s">
        <v>1432</v>
      </c>
      <c r="B1384" s="132">
        <v>39</v>
      </c>
      <c r="C1384" s="111">
        <v>190.5</v>
      </c>
      <c r="D1384" s="111">
        <v>83.914519999999996</v>
      </c>
      <c r="E1384" s="111">
        <v>75</v>
      </c>
      <c r="F1384" s="111">
        <v>5</v>
      </c>
      <c r="G1384" s="133">
        <v>0.6</v>
      </c>
      <c r="H1384" s="111">
        <v>26.2</v>
      </c>
      <c r="I1384" s="111">
        <v>0.2</v>
      </c>
      <c r="J1384" s="111">
        <v>1.6</v>
      </c>
      <c r="K1384" s="111">
        <v>0.6</v>
      </c>
      <c r="L1384">
        <v>0</v>
      </c>
    </row>
    <row r="1385" spans="1:12" x14ac:dyDescent="0.2">
      <c r="A1385" s="111" t="s">
        <v>1433</v>
      </c>
      <c r="B1385" s="132">
        <v>30</v>
      </c>
      <c r="C1385" s="111">
        <v>170.18</v>
      </c>
      <c r="D1385" s="111">
        <v>56.698999999999998</v>
      </c>
      <c r="E1385" s="111">
        <v>65</v>
      </c>
      <c r="F1385" s="111">
        <v>6</v>
      </c>
      <c r="G1385" s="133">
        <v>0.33333333333333331</v>
      </c>
      <c r="H1385" s="111">
        <v>56.333333333333336</v>
      </c>
      <c r="I1385" s="111">
        <v>3.1666666666666665</v>
      </c>
      <c r="J1385" s="111">
        <v>1.1666666666666667</v>
      </c>
      <c r="K1385" s="111">
        <v>2.6666666666666665</v>
      </c>
      <c r="L1385">
        <v>1</v>
      </c>
    </row>
    <row r="1386" spans="1:12" x14ac:dyDescent="0.2">
      <c r="A1386" s="111" t="s">
        <v>1434</v>
      </c>
      <c r="B1386" s="132">
        <v>33</v>
      </c>
      <c r="C1386" s="111">
        <v>165.1</v>
      </c>
      <c r="D1386" s="111">
        <v>61.234920000000002</v>
      </c>
      <c r="E1386" s="111">
        <v>68</v>
      </c>
      <c r="F1386" s="111">
        <v>2</v>
      </c>
      <c r="G1386" s="133">
        <v>0</v>
      </c>
      <c r="H1386" s="111">
        <v>41</v>
      </c>
      <c r="I1386" s="111">
        <v>1</v>
      </c>
      <c r="J1386" s="111">
        <v>0</v>
      </c>
      <c r="K1386" s="111">
        <v>1</v>
      </c>
      <c r="L1386">
        <v>1</v>
      </c>
    </row>
    <row r="1387" spans="1:12" x14ac:dyDescent="0.2">
      <c r="A1387" s="111" t="s">
        <v>1435</v>
      </c>
      <c r="B1387" s="132">
        <v>33</v>
      </c>
      <c r="C1387" s="111">
        <v>193.04</v>
      </c>
      <c r="D1387" s="111">
        <v>117.93392</v>
      </c>
      <c r="E1387" s="111">
        <v>76</v>
      </c>
      <c r="F1387" s="111">
        <v>5</v>
      </c>
      <c r="G1387" s="133">
        <v>0.2</v>
      </c>
      <c r="H1387" s="111">
        <v>19.399999999999999</v>
      </c>
      <c r="I1387" s="111">
        <v>0.8</v>
      </c>
      <c r="J1387" s="111">
        <v>0.4</v>
      </c>
      <c r="K1387" s="111">
        <v>1</v>
      </c>
      <c r="L1387">
        <v>0</v>
      </c>
    </row>
    <row r="1388" spans="1:12" x14ac:dyDescent="0.2">
      <c r="A1388" s="111" t="s">
        <v>1436</v>
      </c>
      <c r="B1388" s="132">
        <v>37</v>
      </c>
      <c r="C1388" s="111">
        <v>180.34</v>
      </c>
      <c r="D1388" s="111">
        <v>83.914519999999996</v>
      </c>
      <c r="E1388" s="111">
        <v>74</v>
      </c>
      <c r="F1388" s="111">
        <v>4</v>
      </c>
      <c r="G1388" s="133">
        <v>0.75</v>
      </c>
      <c r="H1388" s="111">
        <v>37</v>
      </c>
      <c r="I1388" s="111">
        <v>1.75</v>
      </c>
      <c r="J1388" s="111">
        <v>0.25</v>
      </c>
      <c r="K1388" s="111">
        <v>3</v>
      </c>
      <c r="L1388">
        <v>0</v>
      </c>
    </row>
    <row r="1389" spans="1:12" x14ac:dyDescent="0.2">
      <c r="A1389" s="111" t="s">
        <v>1437</v>
      </c>
      <c r="B1389" s="132">
        <v>51</v>
      </c>
      <c r="C1389" s="111">
        <v>185.42</v>
      </c>
      <c r="D1389" s="111">
        <v>102.0582</v>
      </c>
      <c r="E1389" s="111">
        <v>74.847294000000005</v>
      </c>
      <c r="F1389" s="111">
        <v>3</v>
      </c>
      <c r="G1389" s="133">
        <v>0</v>
      </c>
      <c r="H1389" s="111">
        <v>9.6666666666666661</v>
      </c>
      <c r="I1389" s="111">
        <v>0</v>
      </c>
      <c r="J1389" s="111">
        <v>0</v>
      </c>
      <c r="K1389" s="111">
        <v>1.3333333333333333</v>
      </c>
      <c r="L1389">
        <v>0</v>
      </c>
    </row>
    <row r="1390" spans="1:12" x14ac:dyDescent="0.2">
      <c r="A1390" s="111" t="s">
        <v>1438</v>
      </c>
      <c r="B1390" s="132" t="s">
        <v>1596</v>
      </c>
      <c r="C1390" s="111">
        <v>182.88</v>
      </c>
      <c r="D1390" s="111">
        <v>83.914519999999996</v>
      </c>
      <c r="E1390" s="111">
        <v>74</v>
      </c>
      <c r="F1390" s="111">
        <v>1</v>
      </c>
      <c r="G1390" s="133">
        <v>0</v>
      </c>
      <c r="H1390" s="111">
        <v>1</v>
      </c>
      <c r="I1390" s="111">
        <v>0</v>
      </c>
      <c r="J1390" s="111">
        <v>0</v>
      </c>
      <c r="K1390" s="111">
        <v>0</v>
      </c>
      <c r="L1390">
        <v>0</v>
      </c>
    </row>
    <row r="1391" spans="1:12" x14ac:dyDescent="0.2">
      <c r="A1391" s="111" t="s">
        <v>1439</v>
      </c>
      <c r="B1391" s="132">
        <v>32</v>
      </c>
      <c r="C1391" s="111">
        <v>187.96</v>
      </c>
      <c r="D1391" s="111">
        <v>77.110640000000004</v>
      </c>
      <c r="E1391" s="111">
        <v>75</v>
      </c>
      <c r="F1391" s="111">
        <v>11</v>
      </c>
      <c r="G1391" s="133">
        <v>0.63636363636363635</v>
      </c>
      <c r="H1391" s="111">
        <v>42.909090909090907</v>
      </c>
      <c r="I1391" s="111">
        <v>0.63636363636363635</v>
      </c>
      <c r="J1391" s="111">
        <v>0.18181818181818182</v>
      </c>
      <c r="K1391" s="111">
        <v>0.45454545454545453</v>
      </c>
      <c r="L1391">
        <v>0</v>
      </c>
    </row>
    <row r="1392" spans="1:12" x14ac:dyDescent="0.2">
      <c r="A1392" s="111" t="s">
        <v>1440</v>
      </c>
      <c r="B1392" s="132">
        <v>42</v>
      </c>
      <c r="C1392" s="111">
        <v>203.2</v>
      </c>
      <c r="D1392" s="111">
        <v>120.20188</v>
      </c>
      <c r="E1392" s="111">
        <v>80</v>
      </c>
      <c r="F1392" s="111">
        <v>13</v>
      </c>
      <c r="G1392" s="133">
        <v>0.69230769230769229</v>
      </c>
      <c r="H1392" s="111">
        <v>45</v>
      </c>
      <c r="I1392" s="111">
        <v>7.6923076923076927E-2</v>
      </c>
      <c r="J1392" s="111">
        <v>7.6923076923076927E-2</v>
      </c>
      <c r="K1392" s="111">
        <v>0.23076923076923078</v>
      </c>
      <c r="L1392">
        <v>0</v>
      </c>
    </row>
    <row r="1393" spans="1:12" x14ac:dyDescent="0.2">
      <c r="A1393" s="111" t="s">
        <v>1441</v>
      </c>
      <c r="B1393" s="132" t="s">
        <v>1596</v>
      </c>
      <c r="C1393" s="111">
        <v>190.5</v>
      </c>
      <c r="D1393" s="111">
        <v>120.20188</v>
      </c>
      <c r="E1393" s="111">
        <v>77</v>
      </c>
      <c r="F1393" s="111">
        <v>2</v>
      </c>
      <c r="G1393" s="133">
        <v>0.5</v>
      </c>
      <c r="H1393" s="111">
        <v>24</v>
      </c>
      <c r="I1393" s="111">
        <v>2</v>
      </c>
      <c r="J1393" s="111">
        <v>0</v>
      </c>
      <c r="K1393" s="111">
        <v>1</v>
      </c>
      <c r="L1393">
        <v>1</v>
      </c>
    </row>
    <row r="1394" spans="1:12" x14ac:dyDescent="0.2">
      <c r="A1394" s="111" t="s">
        <v>1442</v>
      </c>
      <c r="B1394" s="132">
        <v>28</v>
      </c>
      <c r="C1394" s="111">
        <v>157.47999999999999</v>
      </c>
      <c r="D1394" s="111">
        <v>52.163080000000001</v>
      </c>
      <c r="E1394" s="111">
        <v>62</v>
      </c>
      <c r="F1394" s="111">
        <v>1</v>
      </c>
      <c r="G1394" s="133">
        <v>0</v>
      </c>
      <c r="H1394" s="111">
        <v>29</v>
      </c>
      <c r="I1394" s="111">
        <v>0</v>
      </c>
      <c r="J1394" s="111">
        <v>0</v>
      </c>
      <c r="K1394" s="111">
        <v>0</v>
      </c>
      <c r="L1394">
        <v>0</v>
      </c>
    </row>
    <row r="1395" spans="1:12" x14ac:dyDescent="0.2">
      <c r="A1395" s="111" t="s">
        <v>1443</v>
      </c>
      <c r="B1395" s="132">
        <v>41</v>
      </c>
      <c r="C1395" s="111">
        <v>190.5</v>
      </c>
      <c r="D1395" s="111">
        <v>92.986360000000005</v>
      </c>
      <c r="E1395" s="111">
        <v>74</v>
      </c>
      <c r="F1395" s="111">
        <v>27</v>
      </c>
      <c r="G1395" s="133">
        <v>0.55555555555555558</v>
      </c>
      <c r="H1395" s="111">
        <v>26.185185185185187</v>
      </c>
      <c r="I1395" s="111">
        <v>2.1481481481481484</v>
      </c>
      <c r="J1395" s="111">
        <v>0.29629629629629628</v>
      </c>
      <c r="K1395" s="111">
        <v>0.96296296296296291</v>
      </c>
      <c r="L1395">
        <v>0</v>
      </c>
    </row>
    <row r="1396" spans="1:12" x14ac:dyDescent="0.2">
      <c r="A1396" s="111" t="s">
        <v>1444</v>
      </c>
      <c r="B1396" s="132">
        <v>40</v>
      </c>
      <c r="C1396" s="111">
        <v>180.34</v>
      </c>
      <c r="D1396" s="111">
        <v>92.986360000000005</v>
      </c>
      <c r="E1396" s="111">
        <v>72.837137999999996</v>
      </c>
      <c r="F1396" s="111">
        <v>2</v>
      </c>
      <c r="G1396" s="133">
        <v>0</v>
      </c>
      <c r="H1396" s="111">
        <v>21.5</v>
      </c>
      <c r="I1396" s="111">
        <v>0</v>
      </c>
      <c r="J1396" s="111">
        <v>0</v>
      </c>
      <c r="K1396" s="111">
        <v>0</v>
      </c>
      <c r="L1396">
        <v>0</v>
      </c>
    </row>
    <row r="1397" spans="1:12" x14ac:dyDescent="0.2">
      <c r="A1397" s="111" t="s">
        <v>1445</v>
      </c>
      <c r="B1397" s="132" t="s">
        <v>1596</v>
      </c>
      <c r="C1397" s="111">
        <v>185.42</v>
      </c>
      <c r="D1397" s="111">
        <v>90.718400000000003</v>
      </c>
      <c r="E1397" s="111">
        <v>74.847294000000005</v>
      </c>
      <c r="F1397" s="111">
        <v>1</v>
      </c>
      <c r="G1397" s="133">
        <v>0</v>
      </c>
      <c r="H1397" s="111">
        <v>1</v>
      </c>
      <c r="I1397" s="111">
        <v>0</v>
      </c>
      <c r="J1397" s="111">
        <v>0</v>
      </c>
      <c r="K1397" s="111">
        <v>0</v>
      </c>
      <c r="L1397">
        <v>1</v>
      </c>
    </row>
    <row r="1398" spans="1:12" x14ac:dyDescent="0.2">
      <c r="A1398" s="111" t="s">
        <v>1446</v>
      </c>
      <c r="B1398" s="132">
        <v>31</v>
      </c>
      <c r="C1398" s="111">
        <v>190.5</v>
      </c>
      <c r="D1398" s="111">
        <v>117.93392</v>
      </c>
      <c r="E1398" s="111">
        <v>79</v>
      </c>
      <c r="F1398" s="111">
        <v>5</v>
      </c>
      <c r="G1398" s="133">
        <v>0.6</v>
      </c>
      <c r="H1398" s="111">
        <v>18.399999999999999</v>
      </c>
      <c r="I1398" s="111">
        <v>0</v>
      </c>
      <c r="J1398" s="111">
        <v>0</v>
      </c>
      <c r="K1398" s="111">
        <v>0</v>
      </c>
      <c r="L1398">
        <v>0</v>
      </c>
    </row>
    <row r="1399" spans="1:12" x14ac:dyDescent="0.2">
      <c r="A1399" s="111" t="s">
        <v>1447</v>
      </c>
      <c r="B1399" s="132">
        <v>46</v>
      </c>
      <c r="C1399" s="111">
        <v>177.8</v>
      </c>
      <c r="D1399" s="111">
        <v>87.543256</v>
      </c>
      <c r="E1399" s="111">
        <v>71.832059999999998</v>
      </c>
      <c r="F1399" s="111">
        <v>2</v>
      </c>
      <c r="G1399" s="133">
        <v>0.5</v>
      </c>
      <c r="H1399" s="111">
        <v>2</v>
      </c>
      <c r="I1399" s="111">
        <v>0.5</v>
      </c>
      <c r="J1399" s="111">
        <v>0.5</v>
      </c>
      <c r="K1399" s="111">
        <v>0.5</v>
      </c>
      <c r="L1399">
        <v>1</v>
      </c>
    </row>
    <row r="1400" spans="1:12" x14ac:dyDescent="0.2">
      <c r="A1400" s="111" t="s">
        <v>1448</v>
      </c>
      <c r="B1400" s="132" t="s">
        <v>1596</v>
      </c>
      <c r="D1400" s="111">
        <v>92.986360000000005</v>
      </c>
      <c r="F1400" s="111">
        <v>1</v>
      </c>
      <c r="G1400" s="133">
        <v>0</v>
      </c>
      <c r="H1400" s="111">
        <v>8</v>
      </c>
      <c r="I1400" s="111">
        <v>0</v>
      </c>
      <c r="J1400" s="111">
        <v>0</v>
      </c>
      <c r="K1400" s="111">
        <v>0</v>
      </c>
      <c r="L1400">
        <v>0</v>
      </c>
    </row>
    <row r="1401" spans="1:12" x14ac:dyDescent="0.2">
      <c r="A1401" s="111" t="s">
        <v>1449</v>
      </c>
      <c r="B1401" s="132">
        <v>25</v>
      </c>
      <c r="C1401" s="111">
        <v>190.5</v>
      </c>
      <c r="D1401" s="111">
        <v>77.110640000000004</v>
      </c>
      <c r="E1401" s="111">
        <v>73</v>
      </c>
      <c r="F1401" s="111">
        <v>2</v>
      </c>
      <c r="G1401" s="133">
        <v>1</v>
      </c>
      <c r="H1401" s="111">
        <v>24.5</v>
      </c>
      <c r="I1401" s="111">
        <v>0</v>
      </c>
      <c r="J1401" s="111">
        <v>0</v>
      </c>
      <c r="K1401" s="111">
        <v>0.5</v>
      </c>
      <c r="L1401">
        <v>1</v>
      </c>
    </row>
    <row r="1402" spans="1:12" x14ac:dyDescent="0.2">
      <c r="A1402" s="111" t="s">
        <v>1450</v>
      </c>
      <c r="B1402" s="132" t="s">
        <v>1596</v>
      </c>
      <c r="C1402" s="111">
        <v>182.88</v>
      </c>
      <c r="D1402" s="111">
        <v>83.914519999999996</v>
      </c>
      <c r="E1402" s="111">
        <v>75</v>
      </c>
      <c r="F1402" s="111">
        <v>2</v>
      </c>
      <c r="G1402" s="133">
        <v>0</v>
      </c>
      <c r="H1402" s="111">
        <v>22.5</v>
      </c>
      <c r="I1402" s="111">
        <v>1</v>
      </c>
      <c r="J1402" s="111">
        <v>0.5</v>
      </c>
      <c r="K1402" s="111">
        <v>3.5</v>
      </c>
      <c r="L1402">
        <v>0</v>
      </c>
    </row>
    <row r="1403" spans="1:12" x14ac:dyDescent="0.2">
      <c r="A1403" s="111" t="s">
        <v>1451</v>
      </c>
      <c r="B1403" s="132" t="s">
        <v>1596</v>
      </c>
      <c r="C1403" s="111">
        <v>180.34</v>
      </c>
      <c r="D1403" s="111">
        <v>77.110640000000004</v>
      </c>
      <c r="E1403" s="111">
        <v>72.837137999999996</v>
      </c>
      <c r="F1403" s="111">
        <v>1</v>
      </c>
      <c r="G1403" s="133">
        <v>0</v>
      </c>
      <c r="H1403" s="111">
        <v>0</v>
      </c>
      <c r="I1403" s="111">
        <v>0</v>
      </c>
      <c r="J1403" s="111">
        <v>0</v>
      </c>
      <c r="K1403" s="111">
        <v>0</v>
      </c>
      <c r="L1403">
        <v>0</v>
      </c>
    </row>
    <row r="1404" spans="1:12" x14ac:dyDescent="0.2">
      <c r="A1404" s="111" t="s">
        <v>1452</v>
      </c>
      <c r="B1404" s="132">
        <v>33</v>
      </c>
      <c r="C1404" s="111">
        <v>182.88</v>
      </c>
      <c r="D1404" s="111">
        <v>92.986360000000005</v>
      </c>
      <c r="E1404" s="111">
        <v>74</v>
      </c>
      <c r="F1404" s="111">
        <v>10</v>
      </c>
      <c r="G1404" s="133">
        <v>0.6</v>
      </c>
      <c r="H1404" s="111">
        <v>21.3</v>
      </c>
      <c r="I1404" s="111">
        <v>1.5</v>
      </c>
      <c r="J1404" s="111">
        <v>0.9</v>
      </c>
      <c r="K1404" s="111">
        <v>0.6</v>
      </c>
      <c r="L1404">
        <v>1</v>
      </c>
    </row>
    <row r="1405" spans="1:12" x14ac:dyDescent="0.2">
      <c r="A1405" s="111" t="s">
        <v>1453</v>
      </c>
      <c r="B1405" s="132">
        <v>42</v>
      </c>
      <c r="C1405" s="111">
        <v>187.96</v>
      </c>
      <c r="D1405" s="111">
        <v>102.965384</v>
      </c>
      <c r="E1405" s="111">
        <v>75.852372000000003</v>
      </c>
      <c r="F1405" s="111">
        <v>1</v>
      </c>
      <c r="G1405" s="133">
        <v>1</v>
      </c>
      <c r="H1405" s="111">
        <v>30</v>
      </c>
      <c r="I1405" s="111">
        <v>6</v>
      </c>
      <c r="J1405" s="111">
        <v>2</v>
      </c>
      <c r="K1405" s="111">
        <v>2</v>
      </c>
      <c r="L1405">
        <v>1</v>
      </c>
    </row>
    <row r="1406" spans="1:12" x14ac:dyDescent="0.2">
      <c r="A1406" s="111" t="s">
        <v>1454</v>
      </c>
      <c r="B1406" s="132">
        <v>34</v>
      </c>
      <c r="C1406" s="111">
        <v>175.26</v>
      </c>
      <c r="D1406" s="111">
        <v>65.770840000000007</v>
      </c>
      <c r="E1406" s="111">
        <v>69</v>
      </c>
      <c r="F1406" s="111">
        <v>4</v>
      </c>
      <c r="G1406" s="133">
        <v>0.25</v>
      </c>
      <c r="H1406" s="111">
        <v>14.5</v>
      </c>
      <c r="I1406" s="111">
        <v>1.5</v>
      </c>
      <c r="J1406" s="111">
        <v>0.25</v>
      </c>
      <c r="K1406" s="111">
        <v>1.75</v>
      </c>
      <c r="L1406">
        <v>0</v>
      </c>
    </row>
    <row r="1407" spans="1:12" x14ac:dyDescent="0.2">
      <c r="A1407" s="111" t="s">
        <v>1455</v>
      </c>
      <c r="B1407" s="132">
        <v>32</v>
      </c>
      <c r="C1407" s="111">
        <v>177.8</v>
      </c>
      <c r="D1407" s="111">
        <v>77.110640000000004</v>
      </c>
      <c r="E1407" s="111">
        <v>71</v>
      </c>
      <c r="F1407" s="111">
        <v>2</v>
      </c>
      <c r="G1407" s="133">
        <v>0</v>
      </c>
      <c r="H1407" s="111">
        <v>2</v>
      </c>
      <c r="I1407" s="111">
        <v>0</v>
      </c>
      <c r="J1407" s="111">
        <v>0</v>
      </c>
      <c r="K1407" s="111">
        <v>0</v>
      </c>
      <c r="L1407">
        <v>0</v>
      </c>
    </row>
    <row r="1408" spans="1:12" x14ac:dyDescent="0.2">
      <c r="A1408" s="111" t="s">
        <v>1456</v>
      </c>
      <c r="B1408" s="132">
        <v>34</v>
      </c>
      <c r="C1408" s="111">
        <v>185.42</v>
      </c>
      <c r="D1408" s="111">
        <v>83.914519999999996</v>
      </c>
      <c r="E1408" s="111">
        <v>73</v>
      </c>
      <c r="F1408" s="111">
        <v>7</v>
      </c>
      <c r="G1408" s="133">
        <v>0.2857142857142857</v>
      </c>
      <c r="H1408" s="111">
        <v>57.142857142857146</v>
      </c>
      <c r="I1408" s="111">
        <v>0.14285714285714285</v>
      </c>
      <c r="J1408" s="111">
        <v>0</v>
      </c>
      <c r="K1408" s="111">
        <v>0</v>
      </c>
      <c r="L1408">
        <v>0</v>
      </c>
    </row>
    <row r="1409" spans="1:12" x14ac:dyDescent="0.2">
      <c r="A1409" s="111" t="s">
        <v>1457</v>
      </c>
      <c r="B1409" s="132">
        <v>34</v>
      </c>
      <c r="C1409" s="111">
        <v>185.42</v>
      </c>
      <c r="D1409" s="111">
        <v>92.986360000000005</v>
      </c>
      <c r="E1409" s="111">
        <v>76</v>
      </c>
      <c r="F1409" s="111">
        <v>6</v>
      </c>
      <c r="G1409" s="133">
        <v>0.5</v>
      </c>
      <c r="H1409" s="111">
        <v>20.833333333333332</v>
      </c>
      <c r="I1409" s="111">
        <v>1.5</v>
      </c>
      <c r="J1409" s="111">
        <v>0.16666666666666666</v>
      </c>
      <c r="K1409" s="111">
        <v>1.3333333333333333</v>
      </c>
      <c r="L1409">
        <v>0</v>
      </c>
    </row>
    <row r="1410" spans="1:12" x14ac:dyDescent="0.2">
      <c r="A1410" s="111" t="s">
        <v>1458</v>
      </c>
      <c r="B1410" s="132">
        <v>30</v>
      </c>
      <c r="C1410" s="111">
        <v>175.26</v>
      </c>
      <c r="D1410" s="111">
        <v>65.770840000000007</v>
      </c>
      <c r="E1410" s="111">
        <v>72</v>
      </c>
      <c r="F1410" s="111">
        <v>2</v>
      </c>
      <c r="G1410" s="133">
        <v>0</v>
      </c>
      <c r="H1410" s="111">
        <v>6.5</v>
      </c>
      <c r="I1410" s="111">
        <v>1</v>
      </c>
      <c r="J1410" s="111">
        <v>0</v>
      </c>
      <c r="K1410" s="111">
        <v>1.5</v>
      </c>
      <c r="L1410">
        <v>1</v>
      </c>
    </row>
    <row r="1411" spans="1:12" x14ac:dyDescent="0.2">
      <c r="A1411" s="111" t="s">
        <v>1459</v>
      </c>
      <c r="B1411" s="132">
        <v>42</v>
      </c>
      <c r="C1411" s="111">
        <v>182.88</v>
      </c>
      <c r="D1411" s="111">
        <v>77.110640000000004</v>
      </c>
      <c r="E1411" s="111">
        <v>70</v>
      </c>
      <c r="F1411" s="111">
        <v>6</v>
      </c>
      <c r="G1411" s="133">
        <v>0.5</v>
      </c>
      <c r="H1411" s="111">
        <v>7.5</v>
      </c>
      <c r="I1411" s="111">
        <v>1</v>
      </c>
      <c r="J1411" s="111">
        <v>0.66666666666666663</v>
      </c>
      <c r="K1411" s="111">
        <v>1</v>
      </c>
      <c r="L1411">
        <v>1</v>
      </c>
    </row>
    <row r="1412" spans="1:12" x14ac:dyDescent="0.2">
      <c r="A1412" s="111" t="s">
        <v>1460</v>
      </c>
      <c r="B1412" s="132">
        <v>32</v>
      </c>
      <c r="C1412" s="111">
        <v>180.34</v>
      </c>
      <c r="D1412" s="111">
        <v>70.306759999999997</v>
      </c>
      <c r="E1412" s="111">
        <v>76</v>
      </c>
      <c r="F1412" s="111">
        <v>11</v>
      </c>
      <c r="G1412" s="133">
        <v>0.90909090909090906</v>
      </c>
      <c r="H1412" s="111">
        <v>36.272727272727273</v>
      </c>
      <c r="I1412" s="111">
        <v>0.54545454545454541</v>
      </c>
      <c r="J1412" s="111">
        <v>0.90909090909090906</v>
      </c>
      <c r="K1412" s="111">
        <v>0.45454545454545453</v>
      </c>
      <c r="L1412">
        <v>0</v>
      </c>
    </row>
    <row r="1413" spans="1:12" x14ac:dyDescent="0.2">
      <c r="A1413" s="111" t="s">
        <v>1461</v>
      </c>
      <c r="B1413" s="132">
        <v>45</v>
      </c>
      <c r="C1413" s="111">
        <v>182.88</v>
      </c>
      <c r="D1413" s="111">
        <v>83.914519999999996</v>
      </c>
      <c r="E1413" s="111">
        <v>73.842215999999993</v>
      </c>
      <c r="F1413" s="111">
        <v>4</v>
      </c>
      <c r="G1413" s="133">
        <v>0.5</v>
      </c>
      <c r="H1413" s="111">
        <v>17.25</v>
      </c>
      <c r="I1413" s="111">
        <v>0.25</v>
      </c>
      <c r="J1413" s="111">
        <v>0.5</v>
      </c>
      <c r="K1413" s="111">
        <v>1.25</v>
      </c>
      <c r="L1413">
        <v>0</v>
      </c>
    </row>
    <row r="1414" spans="1:12" x14ac:dyDescent="0.2">
      <c r="A1414" s="111" t="s">
        <v>1462</v>
      </c>
      <c r="B1414" s="132" t="s">
        <v>1596</v>
      </c>
      <c r="C1414" s="111">
        <v>190.5</v>
      </c>
      <c r="D1414" s="111">
        <v>136.07759999999999</v>
      </c>
      <c r="E1414" s="111">
        <v>76.85745</v>
      </c>
      <c r="F1414" s="111">
        <v>1</v>
      </c>
      <c r="G1414" s="133">
        <v>0</v>
      </c>
      <c r="H1414" s="111">
        <v>0</v>
      </c>
      <c r="I1414" s="111">
        <v>0</v>
      </c>
      <c r="J1414" s="111">
        <v>0</v>
      </c>
      <c r="K1414" s="111">
        <v>0</v>
      </c>
      <c r="L1414">
        <v>0</v>
      </c>
    </row>
    <row r="1415" spans="1:12" x14ac:dyDescent="0.2">
      <c r="A1415" s="111" t="s">
        <v>1463</v>
      </c>
      <c r="B1415" s="132">
        <v>27</v>
      </c>
      <c r="C1415" s="111">
        <v>182.88</v>
      </c>
      <c r="D1415" s="111">
        <v>70.306759999999997</v>
      </c>
      <c r="E1415" s="111">
        <v>73</v>
      </c>
      <c r="F1415" s="111">
        <v>5</v>
      </c>
      <c r="G1415" s="133">
        <v>0.4</v>
      </c>
      <c r="H1415" s="111">
        <v>25.4</v>
      </c>
      <c r="I1415" s="111">
        <v>1</v>
      </c>
      <c r="J1415" s="111">
        <v>1</v>
      </c>
      <c r="K1415" s="111">
        <v>1.6</v>
      </c>
      <c r="L1415">
        <v>0</v>
      </c>
    </row>
    <row r="1416" spans="1:12" x14ac:dyDescent="0.2">
      <c r="A1416" s="111" t="s">
        <v>1464</v>
      </c>
      <c r="B1416" s="132">
        <v>50</v>
      </c>
      <c r="C1416" s="111">
        <v>180.34</v>
      </c>
      <c r="D1416" s="111">
        <v>88.904032000000001</v>
      </c>
      <c r="E1416" s="111">
        <v>72.837137999999996</v>
      </c>
      <c r="F1416" s="111">
        <v>1</v>
      </c>
      <c r="G1416" s="133">
        <v>0</v>
      </c>
      <c r="H1416" s="111">
        <v>4</v>
      </c>
      <c r="I1416" s="111">
        <v>0</v>
      </c>
      <c r="J1416" s="111">
        <v>0</v>
      </c>
      <c r="K1416" s="111">
        <v>0</v>
      </c>
      <c r="L1416">
        <v>0</v>
      </c>
    </row>
    <row r="1417" spans="1:12" x14ac:dyDescent="0.2">
      <c r="A1417" s="111" t="s">
        <v>1465</v>
      </c>
      <c r="B1417" s="132">
        <v>31</v>
      </c>
      <c r="C1417" s="111">
        <v>180.34</v>
      </c>
      <c r="D1417" s="111">
        <v>70.306759999999997</v>
      </c>
      <c r="E1417" s="111">
        <v>70</v>
      </c>
      <c r="F1417" s="111">
        <v>3</v>
      </c>
      <c r="G1417" s="133">
        <v>0.33333333333333331</v>
      </c>
      <c r="H1417" s="111">
        <v>12.666666666666666</v>
      </c>
      <c r="I1417" s="111">
        <v>0.33333333333333331</v>
      </c>
      <c r="J1417" s="111">
        <v>0.33333333333333331</v>
      </c>
      <c r="K1417" s="111">
        <v>0</v>
      </c>
      <c r="L1417">
        <v>1</v>
      </c>
    </row>
    <row r="1418" spans="1:12" x14ac:dyDescent="0.2">
      <c r="A1418" s="111" t="s">
        <v>1466</v>
      </c>
      <c r="B1418" s="132">
        <v>33</v>
      </c>
      <c r="C1418" s="111">
        <v>187.96</v>
      </c>
      <c r="D1418" s="111">
        <v>83.914519999999996</v>
      </c>
      <c r="E1418" s="111">
        <v>77</v>
      </c>
      <c r="F1418" s="111">
        <v>4</v>
      </c>
      <c r="G1418" s="133">
        <v>0.25</v>
      </c>
      <c r="H1418" s="111">
        <v>14</v>
      </c>
      <c r="I1418" s="111">
        <v>0.5</v>
      </c>
      <c r="J1418" s="111">
        <v>0.25</v>
      </c>
      <c r="K1418" s="111">
        <v>2.25</v>
      </c>
      <c r="L1418">
        <v>0</v>
      </c>
    </row>
    <row r="1419" spans="1:12" x14ac:dyDescent="0.2">
      <c r="A1419" s="111" t="s">
        <v>1467</v>
      </c>
      <c r="B1419" s="132">
        <v>48</v>
      </c>
      <c r="C1419" s="111">
        <v>165.1</v>
      </c>
      <c r="D1419" s="111">
        <v>77.110640000000004</v>
      </c>
      <c r="E1419" s="111">
        <v>66.806669999999997</v>
      </c>
      <c r="F1419" s="111">
        <v>2</v>
      </c>
      <c r="G1419" s="133">
        <v>0</v>
      </c>
      <c r="H1419" s="111">
        <v>23.5</v>
      </c>
      <c r="I1419" s="111">
        <v>1</v>
      </c>
      <c r="J1419" s="111">
        <v>0</v>
      </c>
      <c r="K1419" s="111">
        <v>0</v>
      </c>
      <c r="L1419">
        <v>0</v>
      </c>
    </row>
    <row r="1420" spans="1:12" x14ac:dyDescent="0.2">
      <c r="A1420" s="111" t="s">
        <v>1468</v>
      </c>
      <c r="B1420" s="132">
        <v>51</v>
      </c>
      <c r="C1420" s="111">
        <v>187.96</v>
      </c>
      <c r="D1420" s="111">
        <v>105.686936</v>
      </c>
      <c r="E1420" s="111">
        <v>75.852372000000003</v>
      </c>
      <c r="F1420" s="111">
        <v>4</v>
      </c>
      <c r="G1420" s="133">
        <v>0</v>
      </c>
      <c r="H1420" s="111">
        <v>16</v>
      </c>
      <c r="I1420" s="111">
        <v>0</v>
      </c>
      <c r="J1420" s="111">
        <v>0</v>
      </c>
      <c r="K1420" s="111">
        <v>0</v>
      </c>
      <c r="L1420">
        <v>0</v>
      </c>
    </row>
    <row r="1421" spans="1:12" x14ac:dyDescent="0.2">
      <c r="A1421" s="111" t="s">
        <v>1469</v>
      </c>
      <c r="B1421" s="132">
        <v>34</v>
      </c>
      <c r="C1421" s="111">
        <v>198.12</v>
      </c>
      <c r="D1421" s="111">
        <v>115.66596</v>
      </c>
      <c r="E1421" s="111">
        <v>79</v>
      </c>
      <c r="F1421" s="111">
        <v>13</v>
      </c>
      <c r="G1421" s="133">
        <v>0.69230769230769229</v>
      </c>
      <c r="H1421" s="111">
        <v>23.153846153846153</v>
      </c>
      <c r="I1421" s="111">
        <v>0.76923076923076927</v>
      </c>
      <c r="J1421" s="111">
        <v>0.15384615384615385</v>
      </c>
      <c r="K1421" s="111">
        <v>1.3076923076923077</v>
      </c>
      <c r="L1421">
        <v>0</v>
      </c>
    </row>
    <row r="1422" spans="1:12" x14ac:dyDescent="0.2">
      <c r="A1422" s="111" t="s">
        <v>1470</v>
      </c>
      <c r="B1422" s="132">
        <v>39</v>
      </c>
      <c r="C1422" s="111">
        <v>182.88</v>
      </c>
      <c r="D1422" s="111">
        <v>108.86208000000001</v>
      </c>
      <c r="E1422" s="111">
        <v>73.842215999999993</v>
      </c>
      <c r="F1422" s="111">
        <v>1</v>
      </c>
      <c r="G1422" s="133">
        <v>0</v>
      </c>
      <c r="H1422" s="111">
        <v>6</v>
      </c>
      <c r="I1422" s="111">
        <v>0</v>
      </c>
      <c r="J1422" s="111">
        <v>0</v>
      </c>
      <c r="K1422" s="111">
        <v>0</v>
      </c>
      <c r="L1422">
        <v>0</v>
      </c>
    </row>
    <row r="1423" spans="1:12" x14ac:dyDescent="0.2">
      <c r="A1423" s="111" t="s">
        <v>1471</v>
      </c>
      <c r="B1423" s="132">
        <v>43</v>
      </c>
      <c r="C1423" s="111">
        <v>180.34</v>
      </c>
      <c r="D1423" s="111">
        <v>83.914519999999996</v>
      </c>
      <c r="E1423" s="111">
        <v>75</v>
      </c>
      <c r="F1423" s="111">
        <v>6</v>
      </c>
      <c r="G1423" s="133">
        <v>0.33333333333333331</v>
      </c>
      <c r="H1423" s="111">
        <v>3.1666666666666665</v>
      </c>
      <c r="I1423" s="111">
        <v>1</v>
      </c>
      <c r="J1423" s="111">
        <v>0.33333333333333331</v>
      </c>
      <c r="K1423" s="111">
        <v>1.6666666666666667</v>
      </c>
      <c r="L1423">
        <v>0</v>
      </c>
    </row>
    <row r="1424" spans="1:12" x14ac:dyDescent="0.2">
      <c r="A1424" s="111" t="s">
        <v>1472</v>
      </c>
      <c r="B1424" s="132">
        <v>38</v>
      </c>
      <c r="C1424" s="111">
        <v>190.5</v>
      </c>
      <c r="D1424" s="111">
        <v>92.986360000000005</v>
      </c>
      <c r="E1424" s="111">
        <v>76.85745</v>
      </c>
      <c r="F1424" s="111">
        <v>2</v>
      </c>
      <c r="G1424" s="133">
        <v>0</v>
      </c>
      <c r="H1424" s="111">
        <v>1.5</v>
      </c>
      <c r="I1424" s="111">
        <v>1</v>
      </c>
      <c r="J1424" s="111">
        <v>0.5</v>
      </c>
      <c r="K1424" s="111">
        <v>0.5</v>
      </c>
      <c r="L1424">
        <v>0</v>
      </c>
    </row>
    <row r="1425" spans="1:12" x14ac:dyDescent="0.2">
      <c r="A1425" s="111" t="s">
        <v>1473</v>
      </c>
      <c r="B1425" s="132" t="s">
        <v>1596</v>
      </c>
      <c r="C1425" s="111">
        <v>187.96</v>
      </c>
      <c r="D1425" s="111">
        <v>83.914519999999996</v>
      </c>
      <c r="E1425" s="111">
        <v>75.852372000000003</v>
      </c>
      <c r="F1425" s="111">
        <v>1</v>
      </c>
      <c r="G1425" s="133">
        <v>0</v>
      </c>
      <c r="H1425" s="111">
        <v>1</v>
      </c>
      <c r="I1425" s="111">
        <v>0</v>
      </c>
      <c r="J1425" s="111">
        <v>0</v>
      </c>
      <c r="K1425" s="111">
        <v>0</v>
      </c>
      <c r="L1425">
        <v>0</v>
      </c>
    </row>
    <row r="1426" spans="1:12" x14ac:dyDescent="0.2">
      <c r="A1426" s="111" t="s">
        <v>1474</v>
      </c>
      <c r="B1426" s="132">
        <v>44</v>
      </c>
      <c r="C1426" s="111">
        <v>185.42</v>
      </c>
      <c r="D1426" s="111">
        <v>83.914519999999996</v>
      </c>
      <c r="E1426" s="111">
        <v>75</v>
      </c>
      <c r="F1426" s="111">
        <v>4</v>
      </c>
      <c r="G1426" s="133">
        <v>0.5</v>
      </c>
      <c r="H1426" s="111">
        <v>27.75</v>
      </c>
      <c r="I1426" s="111">
        <v>3.5</v>
      </c>
      <c r="J1426" s="111">
        <v>1</v>
      </c>
      <c r="K1426" s="111">
        <v>2.5</v>
      </c>
      <c r="L1426">
        <v>0</v>
      </c>
    </row>
    <row r="1427" spans="1:12" x14ac:dyDescent="0.2">
      <c r="A1427" s="111" t="s">
        <v>1475</v>
      </c>
      <c r="B1427" s="132">
        <v>35</v>
      </c>
      <c r="C1427" s="111">
        <v>190.5</v>
      </c>
      <c r="D1427" s="111">
        <v>83.914519999999996</v>
      </c>
      <c r="E1427" s="111">
        <v>75</v>
      </c>
      <c r="F1427" s="111">
        <v>6</v>
      </c>
      <c r="G1427" s="133">
        <v>0.5</v>
      </c>
      <c r="H1427" s="111">
        <v>40.333333333333336</v>
      </c>
      <c r="I1427" s="111">
        <v>0.83333333333333337</v>
      </c>
      <c r="J1427" s="111">
        <v>0.66666666666666663</v>
      </c>
      <c r="K1427" s="111">
        <v>2</v>
      </c>
      <c r="L1427">
        <v>0</v>
      </c>
    </row>
    <row r="1428" spans="1:12" x14ac:dyDescent="0.2">
      <c r="A1428" s="111" t="s">
        <v>1476</v>
      </c>
      <c r="B1428" s="132">
        <v>36</v>
      </c>
      <c r="C1428" s="111">
        <v>175.26</v>
      </c>
      <c r="D1428" s="111">
        <v>77.110640000000004</v>
      </c>
      <c r="E1428" s="111">
        <v>70.826982000000001</v>
      </c>
      <c r="F1428" s="111">
        <v>2</v>
      </c>
      <c r="G1428" s="133">
        <v>0.5</v>
      </c>
      <c r="H1428" s="111">
        <v>34</v>
      </c>
      <c r="I1428" s="111">
        <v>2</v>
      </c>
      <c r="J1428" s="111">
        <v>0</v>
      </c>
      <c r="K1428" s="111">
        <v>2.5</v>
      </c>
      <c r="L1428">
        <v>0</v>
      </c>
    </row>
    <row r="1429" spans="1:12" x14ac:dyDescent="0.2">
      <c r="A1429" s="111" t="s">
        <v>1593</v>
      </c>
      <c r="B1429" s="132">
        <v>46</v>
      </c>
      <c r="C1429" s="111">
        <v>180.34</v>
      </c>
      <c r="D1429" s="111">
        <v>102.0582</v>
      </c>
      <c r="E1429" s="111">
        <v>72.837137999999996</v>
      </c>
      <c r="F1429" s="111">
        <v>5</v>
      </c>
      <c r="G1429" s="133">
        <v>0.6</v>
      </c>
      <c r="H1429" s="111">
        <v>19.8</v>
      </c>
      <c r="I1429" s="111">
        <v>1.4</v>
      </c>
      <c r="J1429" s="111">
        <v>1.6</v>
      </c>
      <c r="K1429" s="111">
        <v>2.2000000000000002</v>
      </c>
      <c r="L1429">
        <v>0</v>
      </c>
    </row>
    <row r="1430" spans="1:12" x14ac:dyDescent="0.2">
      <c r="A1430" s="111" t="s">
        <v>1477</v>
      </c>
      <c r="B1430" s="132" t="s">
        <v>1596</v>
      </c>
      <c r="C1430" s="111">
        <v>172.72</v>
      </c>
      <c r="D1430" s="111">
        <v>65.770840000000007</v>
      </c>
      <c r="E1430" s="111">
        <v>70</v>
      </c>
      <c r="F1430" s="111">
        <v>1</v>
      </c>
      <c r="G1430" s="133">
        <v>0</v>
      </c>
      <c r="H1430" s="111">
        <v>21</v>
      </c>
      <c r="I1430" s="111">
        <v>0</v>
      </c>
      <c r="J1430" s="111">
        <v>0</v>
      </c>
      <c r="K1430" s="111">
        <v>0</v>
      </c>
      <c r="L1430">
        <v>0</v>
      </c>
    </row>
    <row r="1431" spans="1:12" x14ac:dyDescent="0.2">
      <c r="A1431" s="111" t="s">
        <v>1478</v>
      </c>
      <c r="B1431" s="132">
        <v>34</v>
      </c>
      <c r="C1431" s="111">
        <v>175.26</v>
      </c>
      <c r="D1431" s="111">
        <v>77.110640000000004</v>
      </c>
      <c r="E1431" s="111">
        <v>74</v>
      </c>
      <c r="F1431" s="111">
        <v>7</v>
      </c>
      <c r="G1431" s="133">
        <v>0.7142857142857143</v>
      </c>
      <c r="H1431" s="111">
        <v>25.285714285714285</v>
      </c>
      <c r="I1431" s="111">
        <v>0.42857142857142855</v>
      </c>
      <c r="J1431" s="111">
        <v>0</v>
      </c>
      <c r="K1431" s="111">
        <v>0</v>
      </c>
      <c r="L1431">
        <v>0</v>
      </c>
    </row>
    <row r="1432" spans="1:12" x14ac:dyDescent="0.2">
      <c r="A1432" s="111" t="s">
        <v>1479</v>
      </c>
      <c r="B1432" s="132">
        <v>44</v>
      </c>
      <c r="C1432" s="111">
        <v>175.26</v>
      </c>
      <c r="D1432" s="111">
        <v>83.914519999999996</v>
      </c>
      <c r="E1432" s="111">
        <v>70.826982000000001</v>
      </c>
      <c r="F1432" s="111">
        <v>1</v>
      </c>
      <c r="G1432" s="133">
        <v>1</v>
      </c>
      <c r="H1432" s="111">
        <v>16</v>
      </c>
      <c r="I1432" s="111">
        <v>1</v>
      </c>
      <c r="J1432" s="111">
        <v>0</v>
      </c>
      <c r="K1432" s="111">
        <v>0</v>
      </c>
      <c r="L1432">
        <v>0</v>
      </c>
    </row>
    <row r="1433" spans="1:12" x14ac:dyDescent="0.2">
      <c r="A1433" s="111" t="s">
        <v>1480</v>
      </c>
      <c r="B1433" s="132">
        <v>32</v>
      </c>
      <c r="C1433" s="111">
        <v>167.64</v>
      </c>
      <c r="D1433" s="111">
        <v>65.770840000000007</v>
      </c>
      <c r="E1433" s="111">
        <v>68</v>
      </c>
      <c r="F1433" s="111">
        <v>14</v>
      </c>
      <c r="G1433" s="133">
        <v>0.5714285714285714</v>
      </c>
      <c r="H1433" s="111">
        <v>43.714285714285715</v>
      </c>
      <c r="I1433" s="111">
        <v>1.4285714285714286</v>
      </c>
      <c r="J1433" s="111">
        <v>0.7142857142857143</v>
      </c>
      <c r="K1433" s="111">
        <v>7.1428571428571425E-2</v>
      </c>
      <c r="L1433">
        <v>0</v>
      </c>
    </row>
    <row r="1434" spans="1:12" x14ac:dyDescent="0.2">
      <c r="A1434" s="111" t="s">
        <v>1481</v>
      </c>
      <c r="B1434" s="132">
        <v>33</v>
      </c>
      <c r="C1434" s="111">
        <v>167.64</v>
      </c>
      <c r="D1434" s="111">
        <v>56.698999999999998</v>
      </c>
      <c r="E1434" s="111">
        <v>66</v>
      </c>
      <c r="F1434" s="111">
        <v>2</v>
      </c>
      <c r="G1434" s="133">
        <v>0</v>
      </c>
      <c r="H1434" s="111">
        <v>25.5</v>
      </c>
      <c r="I1434" s="111">
        <v>0</v>
      </c>
      <c r="J1434" s="111">
        <v>0</v>
      </c>
      <c r="K1434" s="111">
        <v>0</v>
      </c>
      <c r="L1434">
        <v>0</v>
      </c>
    </row>
    <row r="1435" spans="1:12" x14ac:dyDescent="0.2">
      <c r="A1435" s="111" t="s">
        <v>1482</v>
      </c>
      <c r="B1435" s="132">
        <v>32</v>
      </c>
      <c r="C1435" s="111">
        <v>182.88</v>
      </c>
      <c r="D1435" s="111">
        <v>83.914519999999996</v>
      </c>
      <c r="E1435" s="111">
        <v>79</v>
      </c>
      <c r="F1435" s="111">
        <v>9</v>
      </c>
      <c r="G1435" s="133">
        <v>0.55555555555555558</v>
      </c>
      <c r="H1435" s="111">
        <v>32.333333333333336</v>
      </c>
      <c r="I1435" s="111">
        <v>0.77777777777777779</v>
      </c>
      <c r="J1435" s="111">
        <v>0.22222222222222221</v>
      </c>
      <c r="K1435" s="111">
        <v>0.1111111111111111</v>
      </c>
      <c r="L1435">
        <v>0</v>
      </c>
    </row>
    <row r="1436" spans="1:12" x14ac:dyDescent="0.2">
      <c r="A1436" s="111" t="s">
        <v>1483</v>
      </c>
      <c r="B1436" s="132">
        <v>37</v>
      </c>
      <c r="C1436" s="111">
        <v>167.64</v>
      </c>
      <c r="D1436" s="111">
        <v>61.234920000000002</v>
      </c>
      <c r="E1436" s="111">
        <v>67</v>
      </c>
      <c r="F1436" s="111">
        <v>13</v>
      </c>
      <c r="G1436" s="133">
        <v>0.69230769230769229</v>
      </c>
      <c r="H1436" s="111">
        <v>42.92307692307692</v>
      </c>
      <c r="I1436" s="111">
        <v>1.5384615384615385</v>
      </c>
      <c r="J1436" s="111">
        <v>0.61538461538461542</v>
      </c>
      <c r="K1436" s="111">
        <v>0.84615384615384615</v>
      </c>
      <c r="L1436">
        <v>0</v>
      </c>
    </row>
    <row r="1437" spans="1:12" x14ac:dyDescent="0.2">
      <c r="A1437" s="111" t="s">
        <v>1484</v>
      </c>
      <c r="B1437" s="132">
        <v>34</v>
      </c>
      <c r="C1437" s="111">
        <v>177.8</v>
      </c>
      <c r="D1437" s="111">
        <v>70.306759999999997</v>
      </c>
      <c r="E1437" s="111">
        <v>73</v>
      </c>
      <c r="F1437" s="111">
        <v>4</v>
      </c>
      <c r="G1437" s="133">
        <v>0.25</v>
      </c>
      <c r="H1437" s="111">
        <v>21.25</v>
      </c>
      <c r="I1437" s="111">
        <v>0.75</v>
      </c>
      <c r="J1437" s="111">
        <v>1</v>
      </c>
      <c r="K1437" s="111">
        <v>1.25</v>
      </c>
      <c r="L1437">
        <v>0</v>
      </c>
    </row>
    <row r="1438" spans="1:12" x14ac:dyDescent="0.2">
      <c r="A1438" s="111" t="s">
        <v>1485</v>
      </c>
      <c r="B1438" s="132">
        <v>28</v>
      </c>
      <c r="C1438" s="111">
        <v>165.1</v>
      </c>
      <c r="D1438" s="111">
        <v>61.234920000000002</v>
      </c>
      <c r="E1438" s="111">
        <v>67</v>
      </c>
      <c r="F1438" s="111">
        <v>1</v>
      </c>
      <c r="G1438" s="133">
        <v>1</v>
      </c>
      <c r="H1438" s="111">
        <v>32</v>
      </c>
      <c r="I1438" s="111">
        <v>4</v>
      </c>
      <c r="J1438" s="111">
        <v>0</v>
      </c>
      <c r="K1438" s="111">
        <v>1</v>
      </c>
      <c r="L1438">
        <v>1</v>
      </c>
    </row>
    <row r="1439" spans="1:12" x14ac:dyDescent="0.2">
      <c r="A1439" s="111" t="s">
        <v>1486</v>
      </c>
      <c r="B1439" s="132" t="s">
        <v>1596</v>
      </c>
      <c r="C1439" s="111">
        <v>175.26</v>
      </c>
      <c r="D1439" s="111">
        <v>77.110640000000004</v>
      </c>
      <c r="E1439" s="111">
        <v>70.826982000000001</v>
      </c>
      <c r="F1439" s="111">
        <v>2</v>
      </c>
      <c r="G1439" s="133">
        <v>0</v>
      </c>
      <c r="H1439" s="111">
        <v>4.5</v>
      </c>
      <c r="I1439" s="111">
        <v>0</v>
      </c>
      <c r="J1439" s="111">
        <v>0.5</v>
      </c>
      <c r="K1439" s="111">
        <v>0</v>
      </c>
      <c r="L1439">
        <v>0</v>
      </c>
    </row>
    <row r="1440" spans="1:12" x14ac:dyDescent="0.2">
      <c r="A1440" s="111" t="s">
        <v>1487</v>
      </c>
      <c r="B1440" s="132">
        <v>33</v>
      </c>
      <c r="C1440" s="111">
        <v>170.18</v>
      </c>
      <c r="D1440" s="111">
        <v>52.163080000000001</v>
      </c>
      <c r="E1440" s="111">
        <v>68</v>
      </c>
      <c r="F1440" s="111">
        <v>4</v>
      </c>
      <c r="G1440" s="133">
        <v>0.75</v>
      </c>
      <c r="H1440" s="111">
        <v>78.5</v>
      </c>
      <c r="I1440" s="111">
        <v>1</v>
      </c>
      <c r="J1440" s="111">
        <v>0.5</v>
      </c>
      <c r="K1440" s="111">
        <v>1.25</v>
      </c>
      <c r="L1440">
        <v>0</v>
      </c>
    </row>
    <row r="1441" spans="1:12" x14ac:dyDescent="0.2">
      <c r="A1441" s="111" t="s">
        <v>1488</v>
      </c>
      <c r="B1441" s="132">
        <v>31</v>
      </c>
      <c r="C1441" s="111">
        <v>182.88</v>
      </c>
      <c r="D1441" s="111">
        <v>70.306759999999997</v>
      </c>
      <c r="E1441" s="111">
        <v>73</v>
      </c>
      <c r="F1441" s="111">
        <v>3</v>
      </c>
      <c r="G1441" s="133">
        <v>0.33333333333333331</v>
      </c>
      <c r="H1441" s="111">
        <v>73</v>
      </c>
      <c r="I1441" s="111">
        <v>1.3333333333333333</v>
      </c>
      <c r="J1441" s="111">
        <v>0</v>
      </c>
      <c r="K1441" s="111">
        <v>0.66666666666666663</v>
      </c>
      <c r="L1441">
        <v>0</v>
      </c>
    </row>
    <row r="1442" spans="1:12" x14ac:dyDescent="0.2">
      <c r="A1442" s="111" t="s">
        <v>1489</v>
      </c>
      <c r="B1442" s="132">
        <v>34</v>
      </c>
      <c r="C1442" s="111">
        <v>167.64</v>
      </c>
      <c r="D1442" s="111">
        <v>56.698999999999998</v>
      </c>
      <c r="E1442" s="111">
        <v>66</v>
      </c>
      <c r="F1442" s="111">
        <v>8</v>
      </c>
      <c r="G1442" s="133">
        <v>0.375</v>
      </c>
      <c r="H1442" s="111">
        <v>32.25</v>
      </c>
      <c r="I1442" s="111">
        <v>0.5</v>
      </c>
      <c r="J1442" s="111">
        <v>0.625</v>
      </c>
      <c r="K1442" s="111">
        <v>0.25</v>
      </c>
      <c r="L1442">
        <v>0</v>
      </c>
    </row>
    <row r="1443" spans="1:12" x14ac:dyDescent="0.2">
      <c r="A1443" s="111" t="s">
        <v>1490</v>
      </c>
      <c r="B1443" s="132">
        <v>24</v>
      </c>
      <c r="C1443" s="111">
        <v>167.64</v>
      </c>
      <c r="D1443" s="111">
        <v>77.110640000000004</v>
      </c>
      <c r="E1443" s="111">
        <v>72</v>
      </c>
      <c r="F1443" s="111">
        <v>1</v>
      </c>
      <c r="G1443" s="133">
        <v>0</v>
      </c>
      <c r="H1443" s="111">
        <v>2</v>
      </c>
      <c r="I1443" s="111">
        <v>0</v>
      </c>
      <c r="J1443" s="111">
        <v>0</v>
      </c>
      <c r="K1443" s="111">
        <v>0</v>
      </c>
      <c r="L1443">
        <v>0</v>
      </c>
    </row>
    <row r="1444" spans="1:12" x14ac:dyDescent="0.2">
      <c r="A1444" s="111" t="s">
        <v>1491</v>
      </c>
      <c r="B1444" s="132">
        <v>45</v>
      </c>
      <c r="C1444" s="111">
        <v>182.88</v>
      </c>
      <c r="D1444" s="111">
        <v>92.986360000000005</v>
      </c>
      <c r="E1444" s="111">
        <v>73.842215999999993</v>
      </c>
      <c r="F1444" s="111">
        <v>2</v>
      </c>
      <c r="G1444" s="133">
        <v>0</v>
      </c>
      <c r="H1444" s="111">
        <v>29</v>
      </c>
      <c r="I1444" s="111">
        <v>0.5</v>
      </c>
      <c r="J1444" s="111">
        <v>0</v>
      </c>
      <c r="K1444" s="111">
        <v>2.5</v>
      </c>
      <c r="L1444">
        <v>1</v>
      </c>
    </row>
    <row r="1445" spans="1:12" x14ac:dyDescent="0.2">
      <c r="A1445" s="111" t="s">
        <v>1492</v>
      </c>
      <c r="B1445" s="132">
        <v>25</v>
      </c>
      <c r="C1445" s="111">
        <v>180.34</v>
      </c>
      <c r="D1445" s="111">
        <v>77.110640000000004</v>
      </c>
      <c r="E1445" s="111">
        <v>75</v>
      </c>
      <c r="F1445" s="111">
        <v>2</v>
      </c>
      <c r="G1445" s="133">
        <v>0.5</v>
      </c>
      <c r="H1445" s="111">
        <v>20</v>
      </c>
      <c r="I1445" s="111">
        <v>0</v>
      </c>
      <c r="J1445" s="111">
        <v>1</v>
      </c>
      <c r="K1445" s="111">
        <v>0</v>
      </c>
      <c r="L1445">
        <v>0</v>
      </c>
    </row>
    <row r="1446" spans="1:12" x14ac:dyDescent="0.2">
      <c r="A1446" s="111" t="s">
        <v>1493</v>
      </c>
      <c r="B1446" s="132">
        <v>35</v>
      </c>
      <c r="C1446" s="111">
        <v>182.88</v>
      </c>
      <c r="D1446" s="111">
        <v>92.986360000000005</v>
      </c>
      <c r="E1446" s="111">
        <v>73.842215999999993</v>
      </c>
      <c r="F1446" s="111">
        <v>2</v>
      </c>
      <c r="G1446" s="133">
        <v>0</v>
      </c>
      <c r="H1446" s="111">
        <v>33</v>
      </c>
      <c r="I1446" s="111">
        <v>0.5</v>
      </c>
      <c r="J1446" s="111">
        <v>0</v>
      </c>
      <c r="K1446" s="111">
        <v>0.5</v>
      </c>
      <c r="L1446">
        <v>0</v>
      </c>
    </row>
    <row r="1447" spans="1:12" x14ac:dyDescent="0.2">
      <c r="A1447" s="111" t="s">
        <v>1494</v>
      </c>
      <c r="B1447" s="132">
        <v>39</v>
      </c>
      <c r="C1447" s="111">
        <v>180.34</v>
      </c>
      <c r="D1447" s="111">
        <v>77.110640000000004</v>
      </c>
      <c r="E1447" s="111">
        <v>73</v>
      </c>
      <c r="F1447" s="111">
        <v>4</v>
      </c>
      <c r="G1447" s="133">
        <v>0.25</v>
      </c>
      <c r="H1447" s="111">
        <v>21.25</v>
      </c>
      <c r="I1447" s="111">
        <v>0.75</v>
      </c>
      <c r="J1447" s="111">
        <v>0.25</v>
      </c>
      <c r="K1447" s="111">
        <v>1</v>
      </c>
      <c r="L1447">
        <v>0</v>
      </c>
    </row>
    <row r="1448" spans="1:12" x14ac:dyDescent="0.2">
      <c r="A1448" s="111" t="s">
        <v>1495</v>
      </c>
      <c r="B1448" s="132">
        <v>26</v>
      </c>
      <c r="C1448" s="111">
        <v>190.5</v>
      </c>
      <c r="D1448" s="111">
        <v>108.86208000000001</v>
      </c>
      <c r="E1448" s="111">
        <v>77</v>
      </c>
      <c r="F1448" s="111">
        <v>3</v>
      </c>
      <c r="G1448" s="133">
        <v>0.33333333333333331</v>
      </c>
      <c r="H1448" s="111">
        <v>23</v>
      </c>
      <c r="I1448" s="111">
        <v>3.3333333333333335</v>
      </c>
      <c r="J1448" s="111">
        <v>0</v>
      </c>
      <c r="K1448" s="111">
        <v>3</v>
      </c>
      <c r="L1448">
        <v>0</v>
      </c>
    </row>
    <row r="1449" spans="1:12" x14ac:dyDescent="0.2">
      <c r="A1449" s="111" t="s">
        <v>1496</v>
      </c>
      <c r="B1449" s="132">
        <v>34</v>
      </c>
      <c r="C1449" s="111">
        <v>177.8</v>
      </c>
      <c r="D1449" s="111">
        <v>70.306759999999997</v>
      </c>
      <c r="E1449" s="111">
        <v>72</v>
      </c>
      <c r="F1449" s="111">
        <v>3</v>
      </c>
      <c r="G1449" s="133">
        <v>0.66666666666666663</v>
      </c>
      <c r="H1449" s="111">
        <v>33.666666666666664</v>
      </c>
      <c r="I1449" s="111">
        <v>5.333333333333333</v>
      </c>
      <c r="J1449" s="111">
        <v>0.33333333333333331</v>
      </c>
      <c r="K1449" s="111">
        <v>5.333333333333333</v>
      </c>
      <c r="L1449">
        <v>0</v>
      </c>
    </row>
    <row r="1450" spans="1:12" x14ac:dyDescent="0.2">
      <c r="A1450" s="111" t="s">
        <v>1586</v>
      </c>
      <c r="B1450" s="132">
        <v>33</v>
      </c>
      <c r="C1450" s="111">
        <v>200.66</v>
      </c>
      <c r="D1450" s="111">
        <v>99.790239999999997</v>
      </c>
      <c r="E1450" s="111">
        <v>80.877762000000004</v>
      </c>
      <c r="F1450" s="111">
        <v>1</v>
      </c>
      <c r="G1450" s="133">
        <v>0</v>
      </c>
      <c r="H1450" s="111">
        <v>47</v>
      </c>
      <c r="I1450" s="111">
        <v>5</v>
      </c>
      <c r="J1450" s="111">
        <v>0</v>
      </c>
      <c r="K1450" s="111">
        <v>5</v>
      </c>
      <c r="L1450">
        <v>0</v>
      </c>
    </row>
    <row r="1451" spans="1:12" x14ac:dyDescent="0.2">
      <c r="A1451" s="111" t="s">
        <v>1497</v>
      </c>
      <c r="B1451" s="132">
        <v>32</v>
      </c>
      <c r="C1451" s="111">
        <v>190.5</v>
      </c>
      <c r="D1451" s="111">
        <v>92.986360000000005</v>
      </c>
      <c r="E1451" s="111">
        <v>79</v>
      </c>
      <c r="F1451" s="111">
        <v>5</v>
      </c>
      <c r="G1451" s="133">
        <v>0.2</v>
      </c>
      <c r="H1451" s="111">
        <v>16.600000000000001</v>
      </c>
      <c r="I1451" s="111">
        <v>0.8</v>
      </c>
      <c r="J1451" s="111">
        <v>0.4</v>
      </c>
      <c r="K1451" s="111">
        <v>1</v>
      </c>
      <c r="L1451">
        <v>0</v>
      </c>
    </row>
    <row r="1452" spans="1:12" x14ac:dyDescent="0.2">
      <c r="A1452" s="111" t="s">
        <v>1498</v>
      </c>
      <c r="B1452" s="132">
        <v>32</v>
      </c>
      <c r="C1452" s="111">
        <v>180.34</v>
      </c>
      <c r="D1452" s="111">
        <v>77.110640000000004</v>
      </c>
      <c r="E1452" s="111">
        <v>75</v>
      </c>
      <c r="F1452" s="111">
        <v>3</v>
      </c>
      <c r="G1452" s="133">
        <v>0.66666666666666663</v>
      </c>
      <c r="H1452" s="111">
        <v>38</v>
      </c>
      <c r="I1452" s="111">
        <v>0.33333333333333331</v>
      </c>
      <c r="J1452" s="111">
        <v>0</v>
      </c>
      <c r="K1452" s="111">
        <v>0.33333333333333331</v>
      </c>
      <c r="L1452">
        <v>0</v>
      </c>
    </row>
    <row r="1453" spans="1:12" x14ac:dyDescent="0.2">
      <c r="A1453" s="111" t="s">
        <v>1499</v>
      </c>
      <c r="B1453" s="132">
        <v>39</v>
      </c>
      <c r="C1453" s="111">
        <v>182.88</v>
      </c>
      <c r="D1453" s="111">
        <v>83.914519999999996</v>
      </c>
      <c r="E1453" s="111">
        <v>74</v>
      </c>
      <c r="F1453" s="111">
        <v>20</v>
      </c>
      <c r="G1453" s="133">
        <v>0.65</v>
      </c>
      <c r="H1453" s="111">
        <v>11.3</v>
      </c>
      <c r="I1453" s="111">
        <v>0.2</v>
      </c>
      <c r="J1453" s="111">
        <v>0.25</v>
      </c>
      <c r="K1453" s="111">
        <v>0.25</v>
      </c>
      <c r="L1453">
        <v>1</v>
      </c>
    </row>
    <row r="1454" spans="1:12" x14ac:dyDescent="0.2">
      <c r="A1454" s="111" t="s">
        <v>1500</v>
      </c>
      <c r="B1454" s="132">
        <v>37</v>
      </c>
      <c r="C1454" s="111">
        <v>185.42</v>
      </c>
      <c r="D1454" s="111">
        <v>83.914519999999996</v>
      </c>
      <c r="E1454" s="111">
        <v>77</v>
      </c>
      <c r="F1454" s="111">
        <v>3</v>
      </c>
      <c r="G1454" s="133">
        <v>0.66666666666666663</v>
      </c>
      <c r="H1454" s="111">
        <v>30.666666666666668</v>
      </c>
      <c r="I1454" s="111">
        <v>0.33333333333333331</v>
      </c>
      <c r="J1454" s="111">
        <v>0</v>
      </c>
      <c r="K1454" s="111">
        <v>0.66666666666666663</v>
      </c>
      <c r="L1454">
        <v>0</v>
      </c>
    </row>
    <row r="1455" spans="1:12" x14ac:dyDescent="0.2">
      <c r="A1455" s="111" t="s">
        <v>1501</v>
      </c>
      <c r="B1455" s="132">
        <v>45</v>
      </c>
      <c r="C1455" s="111">
        <v>182.88</v>
      </c>
      <c r="D1455" s="111">
        <v>92.986360000000005</v>
      </c>
      <c r="E1455" s="111">
        <v>74</v>
      </c>
      <c r="F1455" s="111">
        <v>12</v>
      </c>
      <c r="G1455" s="133">
        <v>0.58333333333333337</v>
      </c>
      <c r="H1455" s="111">
        <v>16.083333333333332</v>
      </c>
      <c r="I1455" s="111">
        <v>1.5833333333333333</v>
      </c>
      <c r="J1455" s="111">
        <v>8.3333333333333329E-2</v>
      </c>
      <c r="K1455" s="111">
        <v>1.4166666666666667</v>
      </c>
      <c r="L1455">
        <v>0</v>
      </c>
    </row>
    <row r="1456" spans="1:12" x14ac:dyDescent="0.2">
      <c r="A1456" s="111" t="s">
        <v>1502</v>
      </c>
      <c r="B1456" s="132" t="s">
        <v>1596</v>
      </c>
      <c r="C1456" s="111">
        <v>190.5</v>
      </c>
      <c r="D1456" s="111">
        <v>111.13003999999999</v>
      </c>
      <c r="E1456" s="111">
        <v>76.85745</v>
      </c>
      <c r="F1456" s="111">
        <v>1</v>
      </c>
      <c r="G1456" s="133">
        <v>0</v>
      </c>
      <c r="H1456" s="111">
        <v>20</v>
      </c>
      <c r="I1456" s="111">
        <v>0</v>
      </c>
      <c r="J1456" s="111">
        <v>0</v>
      </c>
      <c r="K1456" s="111">
        <v>0</v>
      </c>
      <c r="L1456">
        <v>0</v>
      </c>
    </row>
    <row r="1457" spans="1:12" x14ac:dyDescent="0.2">
      <c r="A1457" s="111" t="s">
        <v>1503</v>
      </c>
      <c r="B1457" s="132">
        <v>35</v>
      </c>
      <c r="C1457" s="111">
        <v>167.64</v>
      </c>
      <c r="D1457" s="111">
        <v>65.770840000000007</v>
      </c>
      <c r="E1457" s="111">
        <v>67.811747999999994</v>
      </c>
      <c r="F1457" s="111">
        <v>1</v>
      </c>
      <c r="G1457" s="133">
        <v>0</v>
      </c>
      <c r="H1457" s="111">
        <v>17</v>
      </c>
      <c r="I1457" s="111">
        <v>2</v>
      </c>
      <c r="J1457" s="111">
        <v>0</v>
      </c>
      <c r="K1457" s="111">
        <v>7</v>
      </c>
      <c r="L1457">
        <v>1</v>
      </c>
    </row>
    <row r="1458" spans="1:12" x14ac:dyDescent="0.2">
      <c r="A1458" s="111" t="s">
        <v>1504</v>
      </c>
      <c r="B1458" s="132">
        <v>29</v>
      </c>
      <c r="C1458" s="111">
        <v>182.88</v>
      </c>
      <c r="D1458" s="111">
        <v>92.986360000000005</v>
      </c>
      <c r="E1458" s="111">
        <v>74</v>
      </c>
      <c r="F1458" s="111">
        <v>3</v>
      </c>
      <c r="G1458" s="133">
        <v>0</v>
      </c>
      <c r="H1458" s="111">
        <v>11.333333333333334</v>
      </c>
      <c r="I1458" s="111">
        <v>0</v>
      </c>
      <c r="J1458" s="111">
        <v>0</v>
      </c>
      <c r="K1458" s="111">
        <v>0.33333333333333331</v>
      </c>
      <c r="L1458">
        <v>1</v>
      </c>
    </row>
    <row r="1459" spans="1:12" x14ac:dyDescent="0.2">
      <c r="A1459" s="111" t="s">
        <v>1575</v>
      </c>
      <c r="B1459" s="132">
        <v>29</v>
      </c>
      <c r="C1459" s="111">
        <v>182.88</v>
      </c>
      <c r="D1459" s="111">
        <v>77.110640000000004</v>
      </c>
      <c r="E1459" s="111">
        <v>71</v>
      </c>
      <c r="F1459" s="111">
        <v>2</v>
      </c>
      <c r="G1459" s="133">
        <v>0</v>
      </c>
      <c r="H1459" s="111">
        <v>16.5</v>
      </c>
      <c r="I1459" s="111">
        <v>0</v>
      </c>
      <c r="J1459" s="111">
        <v>0</v>
      </c>
      <c r="K1459" s="111">
        <v>0</v>
      </c>
      <c r="L1459">
        <v>0</v>
      </c>
    </row>
    <row r="1460" spans="1:12" x14ac:dyDescent="0.2">
      <c r="A1460" s="111" t="s">
        <v>1505</v>
      </c>
      <c r="B1460" s="132">
        <v>32</v>
      </c>
      <c r="C1460" s="111">
        <v>180.34</v>
      </c>
      <c r="D1460" s="111">
        <v>61.234920000000002</v>
      </c>
      <c r="E1460" s="111">
        <v>69</v>
      </c>
      <c r="F1460" s="111">
        <v>4</v>
      </c>
      <c r="G1460" s="133">
        <v>0.25</v>
      </c>
      <c r="H1460" s="111">
        <v>17</v>
      </c>
      <c r="I1460" s="111">
        <v>0</v>
      </c>
      <c r="J1460" s="111">
        <v>0.75</v>
      </c>
      <c r="K1460" s="111">
        <v>0.25</v>
      </c>
      <c r="L1460">
        <v>0</v>
      </c>
    </row>
    <row r="1461" spans="1:12" x14ac:dyDescent="0.2">
      <c r="A1461" s="111" t="s">
        <v>1506</v>
      </c>
      <c r="B1461" s="132">
        <v>48</v>
      </c>
      <c r="C1461" s="111">
        <v>170.18</v>
      </c>
      <c r="D1461" s="111">
        <v>92.986360000000005</v>
      </c>
      <c r="E1461" s="111">
        <v>68.816826000000006</v>
      </c>
      <c r="F1461" s="111">
        <v>1</v>
      </c>
      <c r="G1461" s="133">
        <v>0</v>
      </c>
      <c r="H1461" s="111">
        <v>1</v>
      </c>
      <c r="I1461" s="111">
        <v>1</v>
      </c>
      <c r="J1461" s="111">
        <v>0</v>
      </c>
      <c r="K1461" s="111">
        <v>0</v>
      </c>
      <c r="L1461">
        <v>0</v>
      </c>
    </row>
    <row r="1462" spans="1:12" x14ac:dyDescent="0.2">
      <c r="A1462" s="111" t="s">
        <v>1507</v>
      </c>
      <c r="B1462" s="132">
        <v>33</v>
      </c>
      <c r="C1462" s="111">
        <v>195.58</v>
      </c>
      <c r="D1462" s="111">
        <v>113.398</v>
      </c>
      <c r="E1462" s="111">
        <v>77</v>
      </c>
      <c r="F1462" s="111">
        <v>3</v>
      </c>
      <c r="G1462" s="133">
        <v>0</v>
      </c>
      <c r="H1462" s="111">
        <v>13.666666666666666</v>
      </c>
      <c r="I1462" s="111">
        <v>0</v>
      </c>
      <c r="J1462" s="111">
        <v>0</v>
      </c>
      <c r="K1462" s="111">
        <v>0</v>
      </c>
      <c r="L1462">
        <v>1</v>
      </c>
    </row>
    <row r="1463" spans="1:12" x14ac:dyDescent="0.2">
      <c r="A1463" s="111" t="s">
        <v>1508</v>
      </c>
      <c r="B1463" s="132">
        <v>40</v>
      </c>
      <c r="C1463" s="111">
        <v>180.34</v>
      </c>
      <c r="D1463" s="111">
        <v>92.986360000000005</v>
      </c>
      <c r="E1463" s="111">
        <v>74</v>
      </c>
      <c r="F1463" s="111">
        <v>12</v>
      </c>
      <c r="G1463" s="133">
        <v>0.41666666666666669</v>
      </c>
      <c r="H1463" s="111">
        <v>27.083333333333332</v>
      </c>
      <c r="I1463" s="111">
        <v>0.16666666666666666</v>
      </c>
      <c r="J1463" s="111">
        <v>8.3333333333333329E-2</v>
      </c>
      <c r="K1463" s="111">
        <v>8.3333333333333329E-2</v>
      </c>
      <c r="L1463">
        <v>0</v>
      </c>
    </row>
    <row r="1464" spans="1:12" x14ac:dyDescent="0.2">
      <c r="A1464" s="111" t="s">
        <v>1589</v>
      </c>
      <c r="B1464" s="132">
        <v>35</v>
      </c>
      <c r="C1464" s="111">
        <v>180.34</v>
      </c>
      <c r="D1464" s="111">
        <v>77.110640000000004</v>
      </c>
      <c r="E1464" s="111">
        <v>72.837137999999996</v>
      </c>
      <c r="F1464" s="111">
        <v>2</v>
      </c>
      <c r="G1464" s="133">
        <v>0.5</v>
      </c>
      <c r="H1464" s="111">
        <v>15</v>
      </c>
      <c r="I1464" s="111">
        <v>0.5</v>
      </c>
      <c r="J1464" s="111">
        <v>0</v>
      </c>
      <c r="K1464" s="111">
        <v>0.5</v>
      </c>
      <c r="L1464">
        <v>0</v>
      </c>
    </row>
    <row r="1465" spans="1:12" x14ac:dyDescent="0.2">
      <c r="A1465" s="111" t="s">
        <v>1509</v>
      </c>
      <c r="B1465" s="132">
        <v>25</v>
      </c>
      <c r="C1465" s="111">
        <v>180.34</v>
      </c>
      <c r="D1465" s="111">
        <v>77.110640000000004</v>
      </c>
      <c r="E1465" s="111">
        <v>72</v>
      </c>
      <c r="F1465" s="111">
        <v>4</v>
      </c>
      <c r="G1465" s="133">
        <v>1</v>
      </c>
      <c r="H1465" s="111">
        <v>21.25</v>
      </c>
      <c r="I1465" s="111">
        <v>1.25</v>
      </c>
      <c r="J1465" s="111">
        <v>1</v>
      </c>
      <c r="K1465" s="111">
        <v>1.75</v>
      </c>
      <c r="L1465">
        <v>0</v>
      </c>
    </row>
    <row r="1466" spans="1:12" x14ac:dyDescent="0.2">
      <c r="A1466" s="111" t="s">
        <v>1510</v>
      </c>
      <c r="B1466" s="132">
        <v>36</v>
      </c>
      <c r="C1466" s="111">
        <v>170.18</v>
      </c>
      <c r="D1466" s="111">
        <v>65.770840000000007</v>
      </c>
      <c r="E1466" s="111">
        <v>68.816826000000006</v>
      </c>
      <c r="F1466" s="111">
        <v>4</v>
      </c>
      <c r="G1466" s="133">
        <v>0.5</v>
      </c>
      <c r="H1466" s="111">
        <v>22</v>
      </c>
      <c r="I1466" s="111">
        <v>3.5</v>
      </c>
      <c r="J1466" s="111">
        <v>0.25</v>
      </c>
      <c r="K1466" s="111">
        <v>1.5</v>
      </c>
      <c r="L1466">
        <v>1</v>
      </c>
    </row>
    <row r="1467" spans="1:12" x14ac:dyDescent="0.2">
      <c r="A1467" s="111" t="s">
        <v>1511</v>
      </c>
      <c r="B1467" s="132">
        <v>33</v>
      </c>
      <c r="C1467" s="111">
        <v>177.8</v>
      </c>
      <c r="D1467" s="111">
        <v>77.110640000000004</v>
      </c>
      <c r="E1467" s="111">
        <v>72</v>
      </c>
      <c r="F1467" s="111">
        <v>2</v>
      </c>
      <c r="G1467" s="133">
        <v>0</v>
      </c>
      <c r="H1467" s="111">
        <v>15</v>
      </c>
      <c r="I1467" s="111">
        <v>0</v>
      </c>
      <c r="J1467" s="111">
        <v>0</v>
      </c>
      <c r="K1467" s="111">
        <v>0</v>
      </c>
      <c r="L1467">
        <v>0</v>
      </c>
    </row>
    <row r="1468" spans="1:12" x14ac:dyDescent="0.2">
      <c r="A1468" s="111" t="s">
        <v>1512</v>
      </c>
      <c r="B1468" s="132" t="s">
        <v>1596</v>
      </c>
      <c r="C1468" s="111">
        <v>177.8</v>
      </c>
      <c r="D1468" s="111">
        <v>85.275295999999997</v>
      </c>
      <c r="E1468" s="111">
        <v>71.832059999999998</v>
      </c>
      <c r="F1468" s="111">
        <v>1</v>
      </c>
      <c r="G1468" s="133">
        <v>0</v>
      </c>
      <c r="H1468" s="111">
        <v>0</v>
      </c>
      <c r="I1468" s="111">
        <v>0</v>
      </c>
      <c r="J1468" s="111">
        <v>0</v>
      </c>
      <c r="K1468" s="111">
        <v>0</v>
      </c>
      <c r="L1468">
        <v>0</v>
      </c>
    </row>
    <row r="1469" spans="1:12" x14ac:dyDescent="0.2">
      <c r="A1469" s="111" t="s">
        <v>1513</v>
      </c>
      <c r="B1469" s="132">
        <v>43</v>
      </c>
      <c r="C1469" s="111">
        <v>187.96</v>
      </c>
      <c r="D1469" s="111">
        <v>92.986360000000005</v>
      </c>
      <c r="E1469" s="111">
        <v>75.852372000000003</v>
      </c>
      <c r="F1469" s="111">
        <v>2</v>
      </c>
      <c r="G1469" s="133">
        <v>0</v>
      </c>
      <c r="H1469" s="111">
        <v>7</v>
      </c>
      <c r="I1469" s="111">
        <v>0</v>
      </c>
      <c r="J1469" s="111">
        <v>0</v>
      </c>
      <c r="K1469" s="111">
        <v>0</v>
      </c>
      <c r="L1469">
        <v>0</v>
      </c>
    </row>
    <row r="1470" spans="1:12" x14ac:dyDescent="0.2">
      <c r="A1470" s="111" t="s">
        <v>1514</v>
      </c>
      <c r="B1470" s="132">
        <v>37</v>
      </c>
      <c r="C1470" s="111">
        <v>208.28</v>
      </c>
      <c r="D1470" s="111">
        <v>117.93392</v>
      </c>
      <c r="E1470" s="111">
        <v>83.892995999999997</v>
      </c>
      <c r="F1470" s="111">
        <v>3</v>
      </c>
      <c r="G1470" s="133">
        <v>0</v>
      </c>
      <c r="H1470" s="111">
        <v>6.333333333333333</v>
      </c>
      <c r="I1470" s="111">
        <v>0</v>
      </c>
      <c r="J1470" s="111">
        <v>1</v>
      </c>
      <c r="K1470" s="111">
        <v>0</v>
      </c>
      <c r="L1470">
        <v>0</v>
      </c>
    </row>
    <row r="1471" spans="1:12" x14ac:dyDescent="0.2">
      <c r="A1471" s="111" t="s">
        <v>1515</v>
      </c>
      <c r="B1471" s="132" t="s">
        <v>1596</v>
      </c>
      <c r="C1471" s="111">
        <v>190.5</v>
      </c>
      <c r="D1471" s="111">
        <v>117.93392</v>
      </c>
      <c r="E1471" s="111">
        <v>76.85745</v>
      </c>
      <c r="F1471" s="111">
        <v>4</v>
      </c>
      <c r="G1471" s="133">
        <v>0.5</v>
      </c>
      <c r="H1471" s="111">
        <v>16.25</v>
      </c>
      <c r="I1471" s="111">
        <v>0</v>
      </c>
      <c r="J1471" s="111">
        <v>0</v>
      </c>
      <c r="K1471" s="111">
        <v>0</v>
      </c>
      <c r="L1471">
        <v>0</v>
      </c>
    </row>
    <row r="1472" spans="1:12" x14ac:dyDescent="0.2">
      <c r="A1472" s="111" t="s">
        <v>1516</v>
      </c>
      <c r="B1472" s="132">
        <v>30</v>
      </c>
      <c r="C1472" s="111">
        <v>175.26</v>
      </c>
      <c r="D1472" s="111">
        <v>56.698999999999998</v>
      </c>
      <c r="E1472" s="111">
        <v>70</v>
      </c>
      <c r="F1472" s="111">
        <v>4</v>
      </c>
      <c r="G1472" s="133">
        <v>0</v>
      </c>
      <c r="H1472" s="111">
        <v>30.75</v>
      </c>
      <c r="I1472" s="111">
        <v>1.25</v>
      </c>
      <c r="J1472" s="111">
        <v>0.25</v>
      </c>
      <c r="K1472" s="111">
        <v>0.5</v>
      </c>
      <c r="L1472">
        <v>0</v>
      </c>
    </row>
    <row r="1473" spans="1:12" x14ac:dyDescent="0.2">
      <c r="A1473" s="111" t="s">
        <v>1517</v>
      </c>
      <c r="B1473" s="132">
        <v>26</v>
      </c>
      <c r="C1473" s="111">
        <v>193.04</v>
      </c>
      <c r="D1473" s="111">
        <v>65.770840000000007</v>
      </c>
      <c r="E1473" s="111">
        <v>76</v>
      </c>
      <c r="F1473" s="111">
        <v>1</v>
      </c>
      <c r="G1473" s="133">
        <v>0</v>
      </c>
      <c r="H1473" s="111">
        <v>33</v>
      </c>
      <c r="I1473" s="111">
        <v>0</v>
      </c>
      <c r="J1473" s="111">
        <v>0</v>
      </c>
      <c r="K1473" s="111">
        <v>0</v>
      </c>
      <c r="L1473">
        <v>0</v>
      </c>
    </row>
    <row r="1474" spans="1:12" x14ac:dyDescent="0.2">
      <c r="A1474" s="111" t="s">
        <v>1518</v>
      </c>
      <c r="B1474" s="132">
        <v>29</v>
      </c>
      <c r="C1474" s="111">
        <v>172.72</v>
      </c>
      <c r="D1474" s="111">
        <v>70.306759999999997</v>
      </c>
      <c r="E1474" s="111">
        <v>69.821904000000004</v>
      </c>
      <c r="F1474" s="111">
        <v>1</v>
      </c>
      <c r="G1474" s="133">
        <v>0</v>
      </c>
      <c r="H1474" s="111">
        <v>23</v>
      </c>
      <c r="I1474" s="111">
        <v>1</v>
      </c>
      <c r="J1474" s="111">
        <v>0</v>
      </c>
      <c r="K1474" s="111">
        <v>1</v>
      </c>
      <c r="L1474">
        <v>0</v>
      </c>
    </row>
    <row r="1475" spans="1:12" x14ac:dyDescent="0.2">
      <c r="A1475" s="111" t="s">
        <v>1519</v>
      </c>
      <c r="B1475" s="132">
        <v>25</v>
      </c>
      <c r="C1475" s="111">
        <v>180.34</v>
      </c>
      <c r="D1475" s="111">
        <v>77.110640000000004</v>
      </c>
      <c r="E1475" s="111">
        <v>75</v>
      </c>
      <c r="F1475" s="111">
        <v>4</v>
      </c>
      <c r="G1475" s="133">
        <v>0.25</v>
      </c>
      <c r="H1475" s="111">
        <v>50</v>
      </c>
      <c r="I1475" s="111">
        <v>1.25</v>
      </c>
      <c r="J1475" s="111">
        <v>0</v>
      </c>
      <c r="K1475" s="111">
        <v>0</v>
      </c>
      <c r="L1475">
        <v>0</v>
      </c>
    </row>
    <row r="1476" spans="1:12" x14ac:dyDescent="0.2">
      <c r="A1476" s="111" t="s">
        <v>1520</v>
      </c>
      <c r="B1476" s="132">
        <v>29</v>
      </c>
      <c r="C1476" s="111">
        <v>172.72</v>
      </c>
      <c r="D1476" s="111">
        <v>56.698999999999998</v>
      </c>
      <c r="E1476" s="111">
        <v>70</v>
      </c>
      <c r="F1476" s="111">
        <v>3</v>
      </c>
      <c r="G1476" s="133">
        <v>0.33333333333333331</v>
      </c>
      <c r="H1476" s="111">
        <v>18</v>
      </c>
      <c r="I1476" s="111">
        <v>0</v>
      </c>
      <c r="J1476" s="111">
        <v>0.33333333333333331</v>
      </c>
      <c r="K1476" s="111">
        <v>0.33333333333333331</v>
      </c>
      <c r="L1476">
        <v>0</v>
      </c>
    </row>
    <row r="1477" spans="1:12" x14ac:dyDescent="0.2">
      <c r="A1477" s="111" t="s">
        <v>1521</v>
      </c>
      <c r="B1477" s="132">
        <v>38</v>
      </c>
      <c r="C1477" s="111">
        <v>185.42</v>
      </c>
      <c r="D1477" s="111">
        <v>83.914519999999996</v>
      </c>
      <c r="E1477" s="111">
        <v>76</v>
      </c>
      <c r="F1477" s="111">
        <v>10</v>
      </c>
      <c r="G1477" s="133">
        <v>0.6</v>
      </c>
      <c r="H1477" s="111">
        <v>20.100000000000001</v>
      </c>
      <c r="I1477" s="111">
        <v>0.4</v>
      </c>
      <c r="J1477" s="111">
        <v>1</v>
      </c>
      <c r="K1477" s="111">
        <v>0.8</v>
      </c>
      <c r="L1477">
        <v>0</v>
      </c>
    </row>
    <row r="1478" spans="1:12" x14ac:dyDescent="0.2">
      <c r="A1478" s="111" t="s">
        <v>1522</v>
      </c>
      <c r="B1478" s="132">
        <v>31</v>
      </c>
      <c r="C1478" s="111">
        <v>162.56</v>
      </c>
      <c r="D1478" s="111">
        <v>56.698999999999998</v>
      </c>
      <c r="E1478" s="111">
        <v>65</v>
      </c>
      <c r="F1478" s="111">
        <v>6</v>
      </c>
      <c r="G1478" s="133">
        <v>0.66666666666666663</v>
      </c>
      <c r="H1478" s="111">
        <v>26.666666666666668</v>
      </c>
      <c r="I1478" s="111">
        <v>5</v>
      </c>
      <c r="J1478" s="111">
        <v>0.33333333333333331</v>
      </c>
      <c r="K1478" s="111">
        <v>4.333333333333333</v>
      </c>
      <c r="L1478">
        <v>1</v>
      </c>
    </row>
    <row r="1479" spans="1:12" x14ac:dyDescent="0.2">
      <c r="A1479" s="111" t="s">
        <v>1523</v>
      </c>
      <c r="B1479" s="132">
        <v>34</v>
      </c>
      <c r="C1479" s="111">
        <v>185.42</v>
      </c>
      <c r="D1479" s="111">
        <v>83.914519999999996</v>
      </c>
      <c r="E1479" s="111">
        <v>74.847294000000005</v>
      </c>
      <c r="F1479" s="111">
        <v>2</v>
      </c>
      <c r="G1479" s="133">
        <v>0</v>
      </c>
      <c r="H1479" s="111">
        <v>11.5</v>
      </c>
      <c r="I1479" s="111">
        <v>0</v>
      </c>
      <c r="J1479" s="111">
        <v>0</v>
      </c>
      <c r="K1479" s="111">
        <v>0</v>
      </c>
      <c r="L1479">
        <v>0</v>
      </c>
    </row>
    <row r="1480" spans="1:12" x14ac:dyDescent="0.2">
      <c r="A1480" s="111" t="s">
        <v>1524</v>
      </c>
      <c r="B1480" s="132" t="s">
        <v>1596</v>
      </c>
      <c r="C1480" s="111">
        <v>180.34</v>
      </c>
      <c r="D1480" s="111">
        <v>65.770840000000007</v>
      </c>
      <c r="E1480" s="111">
        <v>71</v>
      </c>
      <c r="F1480" s="111">
        <v>3</v>
      </c>
      <c r="G1480" s="133">
        <v>1</v>
      </c>
      <c r="H1480" s="111">
        <v>47.333333333333336</v>
      </c>
      <c r="I1480" s="111">
        <v>1.6666666666666667</v>
      </c>
      <c r="J1480" s="111">
        <v>2.3333333333333335</v>
      </c>
      <c r="K1480" s="111">
        <v>2</v>
      </c>
      <c r="L1480">
        <v>0</v>
      </c>
    </row>
    <row r="1481" spans="1:12" x14ac:dyDescent="0.2">
      <c r="A1481" s="111" t="s">
        <v>1525</v>
      </c>
      <c r="B1481" s="132">
        <v>33</v>
      </c>
      <c r="C1481" s="111">
        <v>180.34</v>
      </c>
      <c r="D1481" s="111">
        <v>70.306759999999997</v>
      </c>
      <c r="E1481" s="111">
        <v>73</v>
      </c>
      <c r="F1481" s="111">
        <v>4</v>
      </c>
      <c r="G1481" s="133">
        <v>0.5</v>
      </c>
      <c r="H1481" s="111">
        <v>20.75</v>
      </c>
      <c r="I1481" s="111">
        <v>2.5</v>
      </c>
      <c r="J1481" s="111">
        <v>1</v>
      </c>
      <c r="K1481" s="111">
        <v>5.75</v>
      </c>
      <c r="L1481">
        <v>0</v>
      </c>
    </row>
    <row r="1482" spans="1:12" x14ac:dyDescent="0.2">
      <c r="A1482" s="111" t="s">
        <v>1526</v>
      </c>
      <c r="B1482" s="132">
        <v>29</v>
      </c>
      <c r="C1482" s="111">
        <v>177.8</v>
      </c>
      <c r="D1482" s="111">
        <v>70.306759999999997</v>
      </c>
      <c r="E1482" s="111">
        <v>75</v>
      </c>
      <c r="F1482" s="111">
        <v>7</v>
      </c>
      <c r="G1482" s="133">
        <v>0.42857142857142855</v>
      </c>
      <c r="H1482" s="111">
        <v>24.571428571428573</v>
      </c>
      <c r="I1482" s="111">
        <v>0</v>
      </c>
      <c r="J1482" s="111">
        <v>0.42857142857142855</v>
      </c>
      <c r="K1482" s="111">
        <v>0</v>
      </c>
      <c r="L1482">
        <v>0</v>
      </c>
    </row>
    <row r="1483" spans="1:12" x14ac:dyDescent="0.2">
      <c r="A1483" s="111" t="s">
        <v>1527</v>
      </c>
      <c r="B1483" s="132">
        <v>35</v>
      </c>
      <c r="C1483" s="111">
        <v>175.26</v>
      </c>
      <c r="D1483" s="111">
        <v>65.770840000000007</v>
      </c>
      <c r="E1483" s="111">
        <v>74</v>
      </c>
      <c r="F1483" s="111">
        <v>6</v>
      </c>
      <c r="G1483" s="133">
        <v>0.33333333333333331</v>
      </c>
      <c r="H1483" s="111">
        <v>16</v>
      </c>
      <c r="I1483" s="111">
        <v>1</v>
      </c>
      <c r="J1483" s="111">
        <v>1.3333333333333333</v>
      </c>
      <c r="K1483" s="111">
        <v>2.5</v>
      </c>
      <c r="L1483">
        <v>0</v>
      </c>
    </row>
    <row r="1484" spans="1:12" x14ac:dyDescent="0.2">
      <c r="A1484" s="111" t="s">
        <v>1528</v>
      </c>
      <c r="B1484" s="132">
        <v>40</v>
      </c>
      <c r="C1484" s="111">
        <v>165.1</v>
      </c>
      <c r="D1484" s="111">
        <v>56.698999999999998</v>
      </c>
      <c r="E1484" s="111">
        <v>66.806669999999997</v>
      </c>
      <c r="F1484" s="111">
        <v>2</v>
      </c>
      <c r="G1484" s="133">
        <v>0</v>
      </c>
      <c r="H1484" s="111">
        <v>35</v>
      </c>
      <c r="I1484" s="111">
        <v>0</v>
      </c>
      <c r="J1484" s="111">
        <v>0</v>
      </c>
      <c r="K1484" s="111">
        <v>0</v>
      </c>
      <c r="L1484">
        <v>1</v>
      </c>
    </row>
    <row r="1485" spans="1:12" x14ac:dyDescent="0.2">
      <c r="A1485" s="111" t="s">
        <v>1529</v>
      </c>
      <c r="B1485" s="132">
        <v>39</v>
      </c>
      <c r="C1485" s="111">
        <v>182.88</v>
      </c>
      <c r="D1485" s="111">
        <v>83.914519999999996</v>
      </c>
      <c r="E1485" s="111">
        <v>73</v>
      </c>
      <c r="F1485" s="111">
        <v>7</v>
      </c>
      <c r="G1485" s="133">
        <v>1</v>
      </c>
      <c r="H1485" s="111">
        <v>40</v>
      </c>
      <c r="I1485" s="111">
        <v>1.5714285714285714</v>
      </c>
      <c r="J1485" s="111">
        <v>0</v>
      </c>
      <c r="K1485" s="111">
        <v>0.8571428571428571</v>
      </c>
      <c r="L1485">
        <v>1</v>
      </c>
    </row>
    <row r="1486" spans="1:12" x14ac:dyDescent="0.2">
      <c r="A1486" s="111" t="s">
        <v>1530</v>
      </c>
      <c r="B1486" s="132">
        <v>32</v>
      </c>
      <c r="C1486" s="111">
        <v>180.34</v>
      </c>
      <c r="D1486" s="111">
        <v>70.306759999999997</v>
      </c>
      <c r="E1486" s="111">
        <v>72.837137999999996</v>
      </c>
      <c r="F1486" s="111">
        <v>2</v>
      </c>
      <c r="G1486" s="133">
        <v>0</v>
      </c>
      <c r="H1486" s="111">
        <v>31.5</v>
      </c>
      <c r="I1486" s="111">
        <v>0</v>
      </c>
      <c r="J1486" s="111">
        <v>0</v>
      </c>
      <c r="K1486" s="111">
        <v>0</v>
      </c>
      <c r="L1486">
        <v>1</v>
      </c>
    </row>
    <row r="1487" spans="1:12" x14ac:dyDescent="0.2">
      <c r="A1487" s="111" t="s">
        <v>1531</v>
      </c>
      <c r="B1487" s="132">
        <v>46</v>
      </c>
      <c r="C1487" s="111">
        <v>180.34</v>
      </c>
      <c r="D1487" s="111">
        <v>92.986360000000005</v>
      </c>
      <c r="E1487" s="111">
        <v>72.837137999999996</v>
      </c>
      <c r="F1487" s="111">
        <v>2</v>
      </c>
      <c r="G1487" s="133">
        <v>0</v>
      </c>
      <c r="H1487" s="111">
        <v>0</v>
      </c>
      <c r="I1487" s="111">
        <v>0</v>
      </c>
      <c r="J1487" s="111">
        <v>0</v>
      </c>
      <c r="K1487" s="111">
        <v>0</v>
      </c>
      <c r="L1487">
        <v>0</v>
      </c>
    </row>
    <row r="1488" spans="1:12" x14ac:dyDescent="0.2">
      <c r="A1488" s="111" t="s">
        <v>1532</v>
      </c>
      <c r="B1488" s="132">
        <v>31</v>
      </c>
      <c r="C1488" s="111">
        <v>172.72</v>
      </c>
      <c r="D1488" s="111">
        <v>70.306759999999997</v>
      </c>
      <c r="E1488" s="111">
        <v>69</v>
      </c>
      <c r="F1488" s="111">
        <v>4</v>
      </c>
      <c r="G1488" s="133">
        <v>0.25</v>
      </c>
      <c r="H1488" s="111">
        <v>20.5</v>
      </c>
      <c r="I1488" s="111">
        <v>0</v>
      </c>
      <c r="J1488" s="111">
        <v>0.25</v>
      </c>
      <c r="K1488" s="111">
        <v>0.25</v>
      </c>
      <c r="L1488">
        <v>0</v>
      </c>
    </row>
    <row r="1489" spans="1:12" x14ac:dyDescent="0.2">
      <c r="A1489" s="111" t="s">
        <v>1533</v>
      </c>
      <c r="B1489" s="132">
        <v>41</v>
      </c>
      <c r="C1489" s="111">
        <v>177.8</v>
      </c>
      <c r="D1489" s="111">
        <v>77.110640000000004</v>
      </c>
      <c r="E1489" s="111">
        <v>73</v>
      </c>
      <c r="F1489" s="111">
        <v>7</v>
      </c>
      <c r="G1489" s="133">
        <v>0.2857142857142857</v>
      </c>
      <c r="H1489" s="111">
        <v>43</v>
      </c>
      <c r="I1489" s="111">
        <v>1.7142857142857142</v>
      </c>
      <c r="J1489" s="111">
        <v>0.14285714285714285</v>
      </c>
      <c r="K1489" s="111">
        <v>1.4285714285714286</v>
      </c>
      <c r="L1489">
        <v>0</v>
      </c>
    </row>
    <row r="1490" spans="1:12" x14ac:dyDescent="0.2">
      <c r="A1490" s="111" t="s">
        <v>1534</v>
      </c>
      <c r="B1490" s="132">
        <v>42</v>
      </c>
      <c r="C1490" s="111">
        <v>180.34</v>
      </c>
      <c r="D1490" s="111">
        <v>77.110640000000004</v>
      </c>
      <c r="E1490" s="111">
        <v>70</v>
      </c>
      <c r="F1490" s="111">
        <v>5</v>
      </c>
      <c r="G1490" s="133">
        <v>0.4</v>
      </c>
      <c r="H1490" s="111">
        <v>3.6</v>
      </c>
      <c r="I1490" s="111">
        <v>0.4</v>
      </c>
      <c r="J1490" s="111">
        <v>0.8</v>
      </c>
      <c r="K1490" s="111">
        <v>1</v>
      </c>
      <c r="L1490">
        <v>1</v>
      </c>
    </row>
    <row r="1491" spans="1:12" x14ac:dyDescent="0.2">
      <c r="A1491" s="111" t="s">
        <v>1535</v>
      </c>
      <c r="B1491" s="132">
        <v>35</v>
      </c>
      <c r="C1491" s="111">
        <v>175.26</v>
      </c>
      <c r="D1491" s="111">
        <v>65.770840000000007</v>
      </c>
      <c r="E1491" s="111">
        <v>69</v>
      </c>
      <c r="F1491" s="111">
        <v>3</v>
      </c>
      <c r="G1491" s="133">
        <v>0.33333333333333331</v>
      </c>
      <c r="H1491" s="111">
        <v>53</v>
      </c>
      <c r="I1491" s="111">
        <v>1.3333333333333333</v>
      </c>
      <c r="J1491" s="111">
        <v>0.33333333333333331</v>
      </c>
      <c r="K1491" s="111">
        <v>2</v>
      </c>
      <c r="L1491">
        <v>0</v>
      </c>
    </row>
    <row r="1492" spans="1:12" x14ac:dyDescent="0.2">
      <c r="A1492" s="111" t="s">
        <v>1536</v>
      </c>
      <c r="B1492" s="132">
        <v>41</v>
      </c>
      <c r="C1492" s="111">
        <v>180.34</v>
      </c>
      <c r="D1492" s="111">
        <v>83.007335999999995</v>
      </c>
      <c r="E1492" s="111">
        <v>72.837137999999996</v>
      </c>
      <c r="F1492" s="111">
        <v>3</v>
      </c>
      <c r="G1492" s="133">
        <v>0.33333333333333331</v>
      </c>
      <c r="H1492" s="111">
        <v>12</v>
      </c>
      <c r="I1492" s="111">
        <v>0</v>
      </c>
      <c r="J1492" s="111">
        <v>0</v>
      </c>
      <c r="K1492" s="111">
        <v>0.33333333333333331</v>
      </c>
      <c r="L1492">
        <v>1</v>
      </c>
    </row>
    <row r="1493" spans="1:12" x14ac:dyDescent="0.2">
      <c r="A1493" s="111" t="s">
        <v>1537</v>
      </c>
      <c r="B1493" s="132">
        <v>40</v>
      </c>
      <c r="C1493" s="111">
        <v>187.96</v>
      </c>
      <c r="D1493" s="111">
        <v>83.914519999999996</v>
      </c>
      <c r="E1493" s="111">
        <v>75.852372000000003</v>
      </c>
      <c r="F1493" s="111">
        <v>1</v>
      </c>
      <c r="G1493" s="133">
        <v>0</v>
      </c>
      <c r="H1493" s="111">
        <v>26</v>
      </c>
      <c r="I1493" s="111">
        <v>0</v>
      </c>
      <c r="J1493" s="111">
        <v>0</v>
      </c>
      <c r="K1493" s="111">
        <v>0</v>
      </c>
      <c r="L1493">
        <v>0</v>
      </c>
    </row>
    <row r="1494" spans="1:12" x14ac:dyDescent="0.2">
      <c r="A1494" s="111" t="s">
        <v>1538</v>
      </c>
      <c r="B1494" s="132">
        <v>53</v>
      </c>
      <c r="C1494" s="111">
        <v>193.04</v>
      </c>
      <c r="D1494" s="111">
        <v>89.357624000000001</v>
      </c>
      <c r="E1494" s="111">
        <v>77.862527999999998</v>
      </c>
      <c r="F1494" s="111">
        <v>1</v>
      </c>
      <c r="G1494" s="133">
        <v>0</v>
      </c>
      <c r="H1494" s="111">
        <v>1</v>
      </c>
      <c r="I1494" s="111">
        <v>0</v>
      </c>
      <c r="J1494" s="111">
        <v>0</v>
      </c>
      <c r="K1494" s="111">
        <v>0</v>
      </c>
      <c r="L1494">
        <v>1</v>
      </c>
    </row>
    <row r="1495" spans="1:12" x14ac:dyDescent="0.2">
      <c r="A1495" s="111" t="s">
        <v>1539</v>
      </c>
      <c r="B1495" s="132">
        <v>25</v>
      </c>
      <c r="C1495" s="111">
        <v>182.88</v>
      </c>
      <c r="D1495" s="111">
        <v>77.110640000000004</v>
      </c>
      <c r="E1495" s="111">
        <v>73</v>
      </c>
      <c r="F1495" s="111">
        <v>2</v>
      </c>
      <c r="G1495" s="133">
        <v>0</v>
      </c>
      <c r="H1495" s="111">
        <v>58.5</v>
      </c>
      <c r="I1495" s="111">
        <v>2</v>
      </c>
      <c r="J1495" s="111">
        <v>0.5</v>
      </c>
      <c r="K1495" s="111">
        <v>2.5</v>
      </c>
      <c r="L1495">
        <v>0</v>
      </c>
    </row>
    <row r="1496" spans="1:12" x14ac:dyDescent="0.2">
      <c r="A1496" s="111" t="s">
        <v>1540</v>
      </c>
      <c r="B1496" s="132">
        <v>35</v>
      </c>
      <c r="C1496" s="111">
        <v>187.96</v>
      </c>
      <c r="D1496" s="111">
        <v>83.914519999999996</v>
      </c>
      <c r="E1496" s="111">
        <v>72</v>
      </c>
      <c r="F1496" s="111">
        <v>18</v>
      </c>
      <c r="G1496" s="133">
        <v>0.72222222222222221</v>
      </c>
      <c r="H1496" s="111">
        <v>27.111111111111111</v>
      </c>
      <c r="I1496" s="111">
        <v>1.5</v>
      </c>
      <c r="J1496" s="111">
        <v>0.44444444444444442</v>
      </c>
      <c r="K1496" s="111">
        <v>3.3888888888888888</v>
      </c>
      <c r="L1496">
        <v>1</v>
      </c>
    </row>
    <row r="1497" spans="1:12" x14ac:dyDescent="0.2">
      <c r="A1497" s="111" t="s">
        <v>1541</v>
      </c>
      <c r="B1497" s="132">
        <v>27</v>
      </c>
      <c r="C1497" s="111">
        <v>170.18</v>
      </c>
      <c r="D1497" s="111">
        <v>70.306759999999997</v>
      </c>
      <c r="E1497" s="111">
        <v>67</v>
      </c>
      <c r="F1497" s="111">
        <v>1</v>
      </c>
      <c r="G1497" s="133">
        <v>0</v>
      </c>
      <c r="H1497" s="111">
        <v>44</v>
      </c>
      <c r="I1497" s="111">
        <v>1</v>
      </c>
      <c r="J1497" s="111">
        <v>0</v>
      </c>
      <c r="K1497" s="111">
        <v>0</v>
      </c>
      <c r="L1497">
        <v>1</v>
      </c>
    </row>
    <row r="1498" spans="1:12" x14ac:dyDescent="0.2">
      <c r="A1498" s="111" t="s">
        <v>1542</v>
      </c>
      <c r="B1498" s="132">
        <v>27</v>
      </c>
      <c r="C1498" s="111">
        <v>177.8</v>
      </c>
      <c r="D1498" s="111">
        <v>61.234920000000002</v>
      </c>
      <c r="E1498" s="111">
        <v>71</v>
      </c>
      <c r="F1498" s="111">
        <v>3</v>
      </c>
      <c r="G1498" s="133">
        <v>0.33333333333333331</v>
      </c>
      <c r="H1498" s="111">
        <v>9.6666666666666661</v>
      </c>
      <c r="I1498" s="111">
        <v>0.66666666666666663</v>
      </c>
      <c r="J1498" s="111">
        <v>0.66666666666666663</v>
      </c>
      <c r="K1498" s="111">
        <v>0.66666666666666663</v>
      </c>
      <c r="L1498">
        <v>1</v>
      </c>
    </row>
    <row r="1499" spans="1:12" x14ac:dyDescent="0.2">
      <c r="A1499" s="111" t="s">
        <v>1543</v>
      </c>
      <c r="B1499" s="132">
        <v>40</v>
      </c>
      <c r="C1499" s="111">
        <v>175.26</v>
      </c>
      <c r="D1499" s="111">
        <v>70.306759999999997</v>
      </c>
      <c r="E1499" s="111">
        <v>73</v>
      </c>
      <c r="F1499" s="111">
        <v>21</v>
      </c>
      <c r="G1499" s="133">
        <v>0.47619047619047616</v>
      </c>
      <c r="H1499" s="111">
        <v>27</v>
      </c>
      <c r="I1499" s="111">
        <v>0.2857142857142857</v>
      </c>
      <c r="J1499" s="111">
        <v>0.47619047619047616</v>
      </c>
      <c r="K1499" s="111">
        <v>1.1428571428571428</v>
      </c>
      <c r="L1499">
        <v>1</v>
      </c>
    </row>
    <row r="1500" spans="1:12" x14ac:dyDescent="0.2">
      <c r="A1500" s="111" t="s">
        <v>1544</v>
      </c>
      <c r="B1500" s="132">
        <v>37</v>
      </c>
      <c r="C1500" s="111">
        <v>170.18</v>
      </c>
      <c r="D1500" s="111">
        <v>61.234920000000002</v>
      </c>
      <c r="E1500" s="111">
        <v>68</v>
      </c>
      <c r="F1500" s="111">
        <v>10</v>
      </c>
      <c r="G1500" s="133">
        <v>0.5</v>
      </c>
      <c r="H1500" s="111">
        <v>30</v>
      </c>
      <c r="I1500" s="111">
        <v>1.3</v>
      </c>
      <c r="J1500" s="111">
        <v>0</v>
      </c>
      <c r="K1500" s="111">
        <v>1.1000000000000001</v>
      </c>
      <c r="L1500">
        <v>0</v>
      </c>
    </row>
    <row r="1501" spans="1:12" x14ac:dyDescent="0.2">
      <c r="A1501" s="111" t="s">
        <v>1545</v>
      </c>
      <c r="B1501" s="132">
        <v>42</v>
      </c>
      <c r="C1501" s="111">
        <v>172.72</v>
      </c>
      <c r="D1501" s="111">
        <v>77.110640000000004</v>
      </c>
      <c r="E1501" s="111">
        <v>69.821904000000004</v>
      </c>
      <c r="F1501" s="111">
        <v>1</v>
      </c>
      <c r="G1501" s="133">
        <v>0</v>
      </c>
      <c r="H1501" s="111">
        <v>2</v>
      </c>
      <c r="I1501" s="111">
        <v>1</v>
      </c>
      <c r="J1501" s="111">
        <v>0</v>
      </c>
      <c r="K1501" s="111">
        <v>0</v>
      </c>
      <c r="L1501">
        <v>0</v>
      </c>
    </row>
    <row r="1502" spans="1:12" x14ac:dyDescent="0.2">
      <c r="A1502" s="111" t="s">
        <v>1546</v>
      </c>
      <c r="B1502" s="132">
        <v>34</v>
      </c>
      <c r="C1502" s="111">
        <v>162.56</v>
      </c>
      <c r="D1502" s="111">
        <v>56.698999999999998</v>
      </c>
      <c r="E1502" s="111">
        <v>64</v>
      </c>
      <c r="F1502" s="111">
        <v>6</v>
      </c>
      <c r="G1502" s="133">
        <v>0.5</v>
      </c>
      <c r="H1502" s="111">
        <v>30.5</v>
      </c>
      <c r="I1502" s="111">
        <v>3.6666666666666665</v>
      </c>
      <c r="J1502" s="111">
        <v>0.16666666666666666</v>
      </c>
      <c r="K1502" s="111">
        <v>2.8333333333333335</v>
      </c>
      <c r="L1502">
        <v>1</v>
      </c>
    </row>
    <row r="1503" spans="1:12" x14ac:dyDescent="0.2">
      <c r="A1503" s="111" t="s">
        <v>1547</v>
      </c>
      <c r="B1503" s="132">
        <v>32</v>
      </c>
      <c r="C1503" s="111">
        <v>182.88</v>
      </c>
      <c r="D1503" s="111">
        <v>77.110640000000004</v>
      </c>
      <c r="E1503" s="111">
        <v>75</v>
      </c>
      <c r="F1503" s="111">
        <v>4</v>
      </c>
      <c r="G1503" s="133">
        <v>0.75</v>
      </c>
      <c r="H1503" s="111">
        <v>16.25</v>
      </c>
      <c r="I1503" s="111">
        <v>1.25</v>
      </c>
      <c r="J1503" s="111">
        <v>0.5</v>
      </c>
      <c r="K1503" s="111">
        <v>1.25</v>
      </c>
      <c r="L1503">
        <v>1</v>
      </c>
    </row>
    <row r="1504" spans="1:12" x14ac:dyDescent="0.2">
      <c r="A1504" s="111" t="s">
        <v>1548</v>
      </c>
      <c r="B1504" s="132">
        <v>50</v>
      </c>
      <c r="C1504" s="111">
        <v>195.58</v>
      </c>
      <c r="D1504" s="111">
        <v>113.398</v>
      </c>
      <c r="E1504" s="111">
        <v>78.867605999999995</v>
      </c>
      <c r="F1504" s="111">
        <v>2</v>
      </c>
      <c r="G1504" s="133">
        <v>0</v>
      </c>
      <c r="H1504" s="111">
        <v>6.5</v>
      </c>
      <c r="I1504" s="111">
        <v>0</v>
      </c>
      <c r="J1504" s="111">
        <v>0</v>
      </c>
      <c r="K1504" s="111">
        <v>0</v>
      </c>
      <c r="L1504">
        <v>0</v>
      </c>
    </row>
    <row r="1505" spans="1:12" x14ac:dyDescent="0.2">
      <c r="A1505" s="111" t="s">
        <v>1549</v>
      </c>
      <c r="B1505" s="132">
        <v>25</v>
      </c>
      <c r="C1505" s="111">
        <v>165.1</v>
      </c>
      <c r="D1505" s="111">
        <v>56.698999999999998</v>
      </c>
      <c r="E1505" s="111">
        <v>64</v>
      </c>
      <c r="F1505" s="111">
        <v>3</v>
      </c>
      <c r="G1505" s="133">
        <v>0.33333333333333331</v>
      </c>
      <c r="H1505" s="111">
        <v>12.333333333333334</v>
      </c>
      <c r="I1505" s="111">
        <v>0.33333333333333331</v>
      </c>
      <c r="J1505" s="111">
        <v>0</v>
      </c>
      <c r="K1505" s="111">
        <v>0</v>
      </c>
      <c r="L1505">
        <v>0</v>
      </c>
    </row>
    <row r="1506" spans="1:12" x14ac:dyDescent="0.2">
      <c r="A1506" s="111" t="s">
        <v>1550</v>
      </c>
      <c r="B1506" s="132">
        <v>25</v>
      </c>
      <c r="C1506" s="111">
        <v>172.72</v>
      </c>
      <c r="D1506" s="111">
        <v>65.770840000000007</v>
      </c>
      <c r="E1506" s="111">
        <v>68</v>
      </c>
      <c r="F1506" s="111">
        <v>3</v>
      </c>
      <c r="G1506" s="133">
        <v>1</v>
      </c>
      <c r="H1506" s="111">
        <v>32</v>
      </c>
      <c r="I1506" s="111">
        <v>1.3333333333333333</v>
      </c>
      <c r="J1506" s="111">
        <v>0</v>
      </c>
      <c r="K1506" s="111">
        <v>0</v>
      </c>
      <c r="L1506">
        <v>0</v>
      </c>
    </row>
  </sheetData>
  <autoFilter ref="A1:L150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1"/>
  </sheetPr>
  <dimension ref="A1"/>
  <sheetViews>
    <sheetView workbookViewId="0">
      <selection activeCell="E22" sqref="E22"/>
    </sheetView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S41"/>
  <sheetViews>
    <sheetView showGridLines="0" zoomScale="90" zoomScaleNormal="90" zoomScalePageLayoutView="90" workbookViewId="0">
      <selection activeCell="B26" sqref="B26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85" t="s">
        <v>49</v>
      </c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</row>
    <row r="2" spans="1:18" ht="7" customHeight="1" x14ac:dyDescent="0.2">
      <c r="C2" s="1"/>
      <c r="I2" s="1"/>
      <c r="O2" s="1"/>
    </row>
    <row r="3" spans="1:18" x14ac:dyDescent="0.2">
      <c r="A3" s="186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87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CONTROL'!F16</f>
        <v>-2</v>
      </c>
      <c r="F5" s="13">
        <f t="shared" ref="F5:F14" si="0">D5*E5</f>
        <v>0.14661763634791419</v>
      </c>
      <c r="I5" s="43" t="s">
        <v>7</v>
      </c>
      <c r="J5" s="44">
        <v>-6.3471811562282099E-2</v>
      </c>
      <c r="K5" s="38">
        <f>E5</f>
        <v>-2</v>
      </c>
      <c r="L5" s="13">
        <f t="shared" ref="L5:L14" si="1">J5*K5</f>
        <v>0.1269436231245642</v>
      </c>
      <c r="O5" s="43" t="s">
        <v>7</v>
      </c>
      <c r="P5" s="45">
        <v>-2.4365311261244402E-2</v>
      </c>
      <c r="Q5" s="38">
        <f>E5</f>
        <v>-2</v>
      </c>
      <c r="R5" s="13">
        <f t="shared" ref="R5:R14" si="2">P5*Q5</f>
        <v>4.8730622522488803E-2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CONTROL'!F17</f>
        <v>5.0799999999999841</v>
      </c>
      <c r="F6" s="14">
        <f t="shared" si="0"/>
        <v>-0.25964258780587035</v>
      </c>
      <c r="I6" s="43" t="s">
        <v>0</v>
      </c>
      <c r="J6" s="45">
        <v>1.34099153446016E-2</v>
      </c>
      <c r="K6" s="38">
        <f t="shared" ref="K6:K14" si="3">E6</f>
        <v>5.0799999999999841</v>
      </c>
      <c r="L6" s="14">
        <f t="shared" si="1"/>
        <v>6.8122369950575912E-2</v>
      </c>
      <c r="O6" s="43" t="s">
        <v>0</v>
      </c>
      <c r="P6" s="45">
        <v>-1.0731113050853801E-2</v>
      </c>
      <c r="Q6" s="38">
        <f t="shared" ref="Q6:Q14" si="4">E6</f>
        <v>5.0799999999999841</v>
      </c>
      <c r="R6" s="14">
        <f t="shared" si="2"/>
        <v>-5.4514054298337139E-2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CONTROL'!F18</f>
        <v>11.339799999999997</v>
      </c>
      <c r="F7" s="14">
        <f t="shared" si="0"/>
        <v>0.53161258785759691</v>
      </c>
      <c r="I7" s="43" t="s">
        <v>8</v>
      </c>
      <c r="J7" s="45">
        <v>-1.046756564121E-2</v>
      </c>
      <c r="K7" s="38">
        <f t="shared" si="3"/>
        <v>11.339799999999997</v>
      </c>
      <c r="L7" s="14">
        <f t="shared" si="1"/>
        <v>-0.11870010085819312</v>
      </c>
      <c r="O7" s="43" t="s">
        <v>8</v>
      </c>
      <c r="P7" s="45">
        <v>1.09577919514595E-3</v>
      </c>
      <c r="Q7" s="38">
        <f t="shared" si="4"/>
        <v>11.339799999999997</v>
      </c>
      <c r="R7" s="14">
        <f t="shared" si="2"/>
        <v>1.2425916917116041E-2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CONTROL'!F19</f>
        <v>-1</v>
      </c>
      <c r="F8" s="14">
        <f t="shared" si="0"/>
        <v>-1.4153101499854199E-2</v>
      </c>
      <c r="I8" s="43" t="s">
        <v>1</v>
      </c>
      <c r="J8" s="45">
        <v>3.9539534857285903E-2</v>
      </c>
      <c r="K8" s="38">
        <f t="shared" si="3"/>
        <v>-1</v>
      </c>
      <c r="L8" s="14">
        <f t="shared" si="1"/>
        <v>-3.9539534857285903E-2</v>
      </c>
      <c r="O8" s="43" t="s">
        <v>1</v>
      </c>
      <c r="P8" s="45">
        <v>5.4280175962147801E-3</v>
      </c>
      <c r="Q8" s="38">
        <f t="shared" si="4"/>
        <v>-1</v>
      </c>
      <c r="R8" s="14">
        <f t="shared" si="2"/>
        <v>-5.4280175962147801E-3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CONTROL'!F20</f>
        <v>-22.767857142857142</v>
      </c>
      <c r="F9" s="14">
        <f t="shared" si="0"/>
        <v>-0.13579247723542717</v>
      </c>
      <c r="I9" s="43" t="s">
        <v>2</v>
      </c>
      <c r="J9" s="45">
        <v>3.6913096915039E-3</v>
      </c>
      <c r="K9" s="38">
        <f t="shared" si="3"/>
        <v>-22.767857142857142</v>
      </c>
      <c r="L9" s="14">
        <f t="shared" si="1"/>
        <v>-8.4043211726204867E-2</v>
      </c>
      <c r="O9" s="43" t="s">
        <v>2</v>
      </c>
      <c r="P9" s="45">
        <v>3.7593310721581799E-3</v>
      </c>
      <c r="Q9" s="38">
        <f t="shared" si="4"/>
        <v>-22.767857142857142</v>
      </c>
      <c r="R9" s="14">
        <f t="shared" si="2"/>
        <v>-8.5591912803601414E-2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CONTROL'!F21</f>
        <v>-0.7857142857142857</v>
      </c>
      <c r="F10" s="14">
        <f t="shared" si="0"/>
        <v>-1.087566618363657E-2</v>
      </c>
      <c r="I10" s="43" t="s">
        <v>9</v>
      </c>
      <c r="J10" s="45">
        <v>0.14923457684220701</v>
      </c>
      <c r="K10" s="38">
        <f t="shared" si="3"/>
        <v>-0.7857142857142857</v>
      </c>
      <c r="L10" s="14">
        <f t="shared" si="1"/>
        <v>-0.11725573894744835</v>
      </c>
      <c r="O10" s="43" t="s">
        <v>9</v>
      </c>
      <c r="P10" s="45">
        <v>8.0006416693852E-2</v>
      </c>
      <c r="Q10" s="38">
        <f t="shared" si="4"/>
        <v>-0.7857142857142857</v>
      </c>
      <c r="R10" s="14">
        <f t="shared" si="2"/>
        <v>-6.2862184545169425E-2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CONTROL'!F22</f>
        <v>-0.375</v>
      </c>
      <c r="F11" s="14">
        <f t="shared" si="0"/>
        <v>9.3697957226589745E-3</v>
      </c>
      <c r="I11" s="43" t="s">
        <v>10</v>
      </c>
      <c r="J11" s="45">
        <v>1.88682224289532E-2</v>
      </c>
      <c r="K11" s="38">
        <f t="shared" si="3"/>
        <v>-0.375</v>
      </c>
      <c r="L11" s="14">
        <f t="shared" si="1"/>
        <v>-7.0755834108574504E-3</v>
      </c>
      <c r="O11" s="43" t="s">
        <v>10</v>
      </c>
      <c r="P11" s="45">
        <v>-0.189809504907545</v>
      </c>
      <c r="Q11" s="38">
        <f t="shared" si="4"/>
        <v>-0.375</v>
      </c>
      <c r="R11" s="14">
        <f t="shared" si="2"/>
        <v>7.1178564340329376E-2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CONTROL'!F23</f>
        <v>-0.23214285714285721</v>
      </c>
      <c r="F12" s="14">
        <f t="shared" si="0"/>
        <v>-1.1147002076559099E-2</v>
      </c>
      <c r="I12" s="43" t="s">
        <v>3</v>
      </c>
      <c r="J12" s="45">
        <v>1.84432238541802E-2</v>
      </c>
      <c r="K12" s="38">
        <f t="shared" si="3"/>
        <v>-0.23214285714285721</v>
      </c>
      <c r="L12" s="14">
        <f t="shared" si="1"/>
        <v>-4.2814626804346901E-3</v>
      </c>
      <c r="O12" s="43" t="s">
        <v>3</v>
      </c>
      <c r="P12" s="45">
        <v>6.7268924802394298E-2</v>
      </c>
      <c r="Q12" s="38">
        <f t="shared" si="4"/>
        <v>-0.23214285714285721</v>
      </c>
      <c r="R12" s="14">
        <f t="shared" si="2"/>
        <v>-1.5616000400555823E-2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CONTROL'!F24</f>
        <v>0.125</v>
      </c>
      <c r="F13" s="14">
        <f t="shared" si="0"/>
        <v>3.3717243745179375E-3</v>
      </c>
      <c r="I13" s="43" t="s">
        <v>4</v>
      </c>
      <c r="J13" s="45">
        <v>0.170030189598675</v>
      </c>
      <c r="K13" s="38">
        <f t="shared" si="3"/>
        <v>0.125</v>
      </c>
      <c r="L13" s="14">
        <f t="shared" si="1"/>
        <v>2.1253773699834375E-2</v>
      </c>
      <c r="O13" s="43" t="s">
        <v>4</v>
      </c>
      <c r="P13" s="45">
        <v>0.47130253930455401</v>
      </c>
      <c r="Q13" s="38">
        <f t="shared" si="4"/>
        <v>0.125</v>
      </c>
      <c r="R13" s="14">
        <f t="shared" si="2"/>
        <v>5.8912817413069252E-2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CONTROL'!F25</f>
        <v>4</v>
      </c>
      <c r="F14" s="14">
        <f t="shared" si="0"/>
        <v>6.2697932018721605E-2</v>
      </c>
      <c r="I14" s="43" t="s">
        <v>5</v>
      </c>
      <c r="J14" s="45">
        <v>2.7277496163697301E-2</v>
      </c>
      <c r="K14" s="38">
        <f t="shared" si="3"/>
        <v>4</v>
      </c>
      <c r="L14" s="14">
        <f t="shared" si="1"/>
        <v>0.1091099846547892</v>
      </c>
      <c r="O14" s="43" t="s">
        <v>5</v>
      </c>
      <c r="P14" s="45">
        <v>7.4700207584929304E-2</v>
      </c>
      <c r="Q14" s="38">
        <f t="shared" si="4"/>
        <v>4</v>
      </c>
      <c r="R14" s="14">
        <f t="shared" si="2"/>
        <v>0.29880083033971722</v>
      </c>
    </row>
    <row r="15" spans="1:18" x14ac:dyDescent="0.2">
      <c r="C15" s="4"/>
      <c r="D15" s="21"/>
      <c r="E15" s="33" t="s">
        <v>14</v>
      </c>
      <c r="F15" s="34">
        <f>SUM(F4:F14)</f>
        <v>0.26434625152006219</v>
      </c>
      <c r="G15" s="15"/>
      <c r="H15" s="15"/>
      <c r="I15" s="16"/>
      <c r="J15" s="22"/>
      <c r="K15" s="35" t="s">
        <v>14</v>
      </c>
      <c r="L15" s="34">
        <f>SUM(L4:L14)</f>
        <v>-8.0148101050660683E-2</v>
      </c>
      <c r="M15" s="15"/>
      <c r="N15" s="15"/>
      <c r="O15" s="16"/>
      <c r="P15" s="22"/>
      <c r="Q15" s="35" t="s">
        <v>14</v>
      </c>
      <c r="R15" s="34">
        <f>SUM(R4:R14)</f>
        <v>0.2252850918888421</v>
      </c>
    </row>
    <row r="16" spans="1:18" x14ac:dyDescent="0.2">
      <c r="C16" s="4"/>
      <c r="E16" s="33" t="s">
        <v>16</v>
      </c>
      <c r="F16" s="34">
        <f>EXP(F15)</f>
        <v>1.3025791382333387</v>
      </c>
      <c r="G16" s="15"/>
      <c r="H16" s="15"/>
      <c r="I16" s="16"/>
      <c r="J16" s="23"/>
      <c r="K16" s="35" t="s">
        <v>16</v>
      </c>
      <c r="L16" s="34">
        <f>EXP(L15)</f>
        <v>0.92297964200913474</v>
      </c>
      <c r="M16" s="15"/>
      <c r="N16" s="15"/>
      <c r="O16" s="16"/>
      <c r="P16" s="23"/>
      <c r="Q16" s="35" t="s">
        <v>16</v>
      </c>
      <c r="R16" s="34">
        <f>EXP(R15)</f>
        <v>1.2526797941380579</v>
      </c>
    </row>
    <row r="17" spans="3:18" x14ac:dyDescent="0.2">
      <c r="C17" s="4"/>
      <c r="E17" s="33" t="s">
        <v>15</v>
      </c>
      <c r="F17" s="36">
        <f>F16/(1+F16)</f>
        <v>0.56570439495632141</v>
      </c>
      <c r="G17" s="15"/>
      <c r="H17" s="15"/>
      <c r="I17" s="16"/>
      <c r="J17" s="23"/>
      <c r="K17" s="35" t="s">
        <v>15</v>
      </c>
      <c r="L17" s="36">
        <f>L16/(1+L16)</f>
        <v>0.47997369386854399</v>
      </c>
      <c r="M17" s="15"/>
      <c r="N17" s="15"/>
      <c r="O17" s="16"/>
      <c r="P17" s="23"/>
      <c r="Q17" s="35" t="s">
        <v>15</v>
      </c>
      <c r="R17" s="36">
        <f>R16/(1+R16)</f>
        <v>0.55608426790074272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V57"/>
  <sheetViews>
    <sheetView showGridLines="0" workbookViewId="0">
      <selection sqref="A1:P27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8" width="10.83203125" style="47"/>
    <col min="19" max="19" width="30.83203125" style="47" bestFit="1" customWidth="1"/>
    <col min="20" max="21" width="12.6640625" style="47" bestFit="1" customWidth="1"/>
    <col min="22" max="16384" width="10.83203125" style="47"/>
  </cols>
  <sheetData>
    <row r="1" spans="1:22" s="2" customFormat="1" x14ac:dyDescent="0.2">
      <c r="C1" s="185" t="s">
        <v>24</v>
      </c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</row>
    <row r="2" spans="1:22" s="53" customFormat="1" x14ac:dyDescent="0.2">
      <c r="A2" s="186" t="s">
        <v>38</v>
      </c>
      <c r="C2" s="54"/>
      <c r="D2" s="188" t="s">
        <v>11</v>
      </c>
      <c r="E2" s="189"/>
      <c r="F2" s="190"/>
      <c r="G2" s="54"/>
      <c r="H2" s="54"/>
      <c r="I2" s="188" t="s">
        <v>21</v>
      </c>
      <c r="J2" s="189"/>
      <c r="K2" s="190"/>
      <c r="L2" s="54"/>
      <c r="M2" s="54"/>
      <c r="N2" s="188" t="s">
        <v>22</v>
      </c>
      <c r="O2" s="189"/>
      <c r="P2" s="190"/>
    </row>
    <row r="3" spans="1:22" s="40" customFormat="1" ht="29" customHeight="1" x14ac:dyDescent="0.2">
      <c r="A3" s="187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22" s="2" customFormat="1" ht="18" x14ac:dyDescent="0.2">
      <c r="A4" s="191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  <c r="T4" s="141"/>
      <c r="U4" s="142"/>
      <c r="V4" s="142"/>
    </row>
    <row r="5" spans="1:22" ht="18" x14ac:dyDescent="0.2">
      <c r="A5" s="52" t="s">
        <v>58</v>
      </c>
      <c r="C5" s="46" t="s">
        <v>28</v>
      </c>
      <c r="D5" s="70"/>
      <c r="E5" s="71">
        <v>1.1063999999999999E-2</v>
      </c>
      <c r="F5" s="71">
        <v>9.8295999999999994E-2</v>
      </c>
      <c r="H5" s="46" t="s">
        <v>28</v>
      </c>
      <c r="I5" s="56"/>
      <c r="J5" s="55">
        <v>-0.108862</v>
      </c>
      <c r="K5" s="55">
        <v>-3.2832E-2</v>
      </c>
      <c r="M5" s="46" t="s">
        <v>28</v>
      </c>
      <c r="N5" s="56"/>
      <c r="O5" s="55">
        <v>4.6623999999999999E-2</v>
      </c>
      <c r="P5" s="55">
        <v>-2.1735999999999998E-2</v>
      </c>
      <c r="S5" s="141"/>
      <c r="T5" s="141"/>
      <c r="U5"/>
      <c r="V5" s="142"/>
    </row>
    <row r="6" spans="1:22" ht="18" x14ac:dyDescent="0.2">
      <c r="A6" s="172" t="s">
        <v>59</v>
      </c>
      <c r="C6" s="46" t="s">
        <v>29</v>
      </c>
      <c r="D6" s="170"/>
      <c r="E6" s="171"/>
      <c r="F6" s="171"/>
      <c r="H6" s="46" t="s">
        <v>29</v>
      </c>
      <c r="I6" s="170"/>
      <c r="J6" s="171"/>
      <c r="K6" s="171"/>
      <c r="M6" s="46" t="s">
        <v>29</v>
      </c>
      <c r="N6" s="170"/>
      <c r="O6" s="171"/>
      <c r="P6" s="171"/>
      <c r="S6" s="141"/>
      <c r="T6" s="142"/>
      <c r="U6" s="142"/>
      <c r="V6" s="142"/>
    </row>
    <row r="7" spans="1:22" ht="18" x14ac:dyDescent="0.2">
      <c r="A7" s="52" t="s">
        <v>60</v>
      </c>
      <c r="C7" s="46" t="s">
        <v>30</v>
      </c>
      <c r="D7" s="175"/>
      <c r="E7" s="176">
        <v>-7.1749999999999994E-2</v>
      </c>
      <c r="F7" s="176">
        <v>-0.12520800000000001</v>
      </c>
      <c r="G7" s="173"/>
      <c r="H7" s="174" t="s">
        <v>30</v>
      </c>
      <c r="I7" s="175"/>
      <c r="J7" s="176">
        <v>-2.3564000000000002E-2</v>
      </c>
      <c r="K7" s="176">
        <v>-3.687E-2</v>
      </c>
      <c r="L7" s="173"/>
      <c r="M7" s="174" t="s">
        <v>30</v>
      </c>
      <c r="N7" s="175"/>
      <c r="O7" s="176">
        <v>6.1384000000000001E-2</v>
      </c>
      <c r="P7" s="176">
        <v>-1.8808999999999999E-2</v>
      </c>
      <c r="S7" s="141"/>
      <c r="T7" s="142"/>
      <c r="U7" s="142"/>
      <c r="V7" s="142"/>
    </row>
    <row r="8" spans="1:22" ht="18" x14ac:dyDescent="0.2">
      <c r="A8" s="52" t="s">
        <v>62</v>
      </c>
      <c r="C8" s="46" t="s">
        <v>31</v>
      </c>
      <c r="D8" s="70"/>
      <c r="E8" s="71">
        <v>-4.3138999999999997E-2</v>
      </c>
      <c r="F8" s="71">
        <v>3.9169000000000002E-2</v>
      </c>
      <c r="G8" s="173"/>
      <c r="H8" s="174" t="s">
        <v>31</v>
      </c>
      <c r="I8" s="175"/>
      <c r="J8" s="176">
        <v>-1.2534999999999999E-2</v>
      </c>
      <c r="K8" s="176">
        <v>-2.245E-3</v>
      </c>
      <c r="L8" s="173"/>
      <c r="M8" s="174" t="s">
        <v>31</v>
      </c>
      <c r="N8" s="70"/>
      <c r="O8" s="71">
        <v>-3.9213999999999999E-2</v>
      </c>
      <c r="P8" s="71">
        <v>-9.9374000000000004E-2</v>
      </c>
      <c r="S8" s="141"/>
      <c r="T8" s="142"/>
      <c r="U8" s="142"/>
      <c r="V8" s="142"/>
    </row>
    <row r="9" spans="1:22" ht="18" x14ac:dyDescent="0.2">
      <c r="A9" s="52" t="s">
        <v>61</v>
      </c>
      <c r="C9" s="46" t="s">
        <v>50</v>
      </c>
      <c r="D9" s="175"/>
      <c r="E9" s="176">
        <v>4.9133000000000003E-2</v>
      </c>
      <c r="F9" s="176">
        <v>-2.8111000000000001E-2</v>
      </c>
      <c r="G9" s="173"/>
      <c r="H9" s="174" t="s">
        <v>50</v>
      </c>
      <c r="I9" s="175"/>
      <c r="J9" s="176">
        <v>8.2401000000000002E-2</v>
      </c>
      <c r="K9" s="176">
        <v>-1.4572999999999999E-2</v>
      </c>
      <c r="L9" s="173"/>
      <c r="M9" s="174" t="s">
        <v>50</v>
      </c>
      <c r="N9" s="175"/>
      <c r="O9" s="176">
        <v>3.4183999999999999E-2</v>
      </c>
      <c r="P9" s="176">
        <v>1.652E-3</v>
      </c>
      <c r="S9" s="141"/>
      <c r="T9" s="142"/>
      <c r="U9" s="142"/>
      <c r="V9" s="142"/>
    </row>
    <row r="10" spans="1:22" ht="18" x14ac:dyDescent="0.2">
      <c r="A10" s="52" t="s">
        <v>63</v>
      </c>
      <c r="C10" s="46" t="s">
        <v>32</v>
      </c>
      <c r="D10" s="70"/>
      <c r="E10" s="71">
        <v>8.0077999999999996E-2</v>
      </c>
      <c r="F10" s="71">
        <v>-3.7600000000000001E-2</v>
      </c>
      <c r="G10" s="173"/>
      <c r="H10" s="174" t="s">
        <v>32</v>
      </c>
      <c r="I10" s="70"/>
      <c r="J10" s="71">
        <v>-4.6880999999999999E-2</v>
      </c>
      <c r="K10" s="71">
        <v>3.2036000000000002E-2</v>
      </c>
      <c r="L10" s="173"/>
      <c r="M10" s="174" t="s">
        <v>32</v>
      </c>
      <c r="N10" s="70"/>
      <c r="O10" s="71">
        <v>3.2375000000000001E-2</v>
      </c>
      <c r="P10" s="71">
        <v>0.246169</v>
      </c>
      <c r="S10" s="141"/>
      <c r="T10" s="142"/>
      <c r="U10" s="142"/>
      <c r="V10" s="142"/>
    </row>
    <row r="11" spans="1:22" ht="18" x14ac:dyDescent="0.2">
      <c r="A11" s="52" t="s">
        <v>65</v>
      </c>
      <c r="C11" s="46" t="s">
        <v>33</v>
      </c>
      <c r="D11" s="70"/>
      <c r="E11" s="71">
        <v>-1.1753E-2</v>
      </c>
      <c r="F11" s="71">
        <v>4.6628999999999997E-2</v>
      </c>
      <c r="G11" s="173"/>
      <c r="H11" s="174" t="s">
        <v>33</v>
      </c>
      <c r="I11" s="70"/>
      <c r="J11" s="71">
        <v>7.6434000000000002E-2</v>
      </c>
      <c r="K11" s="71">
        <v>1.8661000000000001E-2</v>
      </c>
      <c r="L11" s="173"/>
      <c r="M11" s="174" t="s">
        <v>33</v>
      </c>
      <c r="N11" s="175"/>
      <c r="O11" s="176">
        <v>-1.1108E-2</v>
      </c>
      <c r="P11" s="176">
        <v>-1.8735999999999999E-2</v>
      </c>
      <c r="S11" s="141"/>
      <c r="T11" s="142"/>
      <c r="U11" s="142"/>
      <c r="V11" s="142"/>
    </row>
    <row r="12" spans="1:22" ht="18" x14ac:dyDescent="0.2">
      <c r="A12" s="52" t="s">
        <v>64</v>
      </c>
      <c r="C12" s="46" t="s">
        <v>51</v>
      </c>
      <c r="D12" s="70"/>
      <c r="E12" s="71">
        <v>1.0576909999999999</v>
      </c>
      <c r="F12" s="71">
        <v>-0.87968599999999997</v>
      </c>
      <c r="G12" s="173"/>
      <c r="H12" s="174" t="s">
        <v>51</v>
      </c>
      <c r="I12" s="70"/>
      <c r="J12" s="71">
        <v>0.81670600000000004</v>
      </c>
      <c r="K12" s="71">
        <v>0.56384999999999996</v>
      </c>
      <c r="L12" s="173"/>
      <c r="M12" s="174" t="s">
        <v>51</v>
      </c>
      <c r="N12" s="70"/>
      <c r="O12" s="71">
        <v>4.8755E-2</v>
      </c>
      <c r="P12" s="71">
        <v>0.43383500000000003</v>
      </c>
      <c r="S12" s="141"/>
      <c r="T12" s="142"/>
      <c r="U12" s="142"/>
      <c r="V12" s="142"/>
    </row>
    <row r="13" spans="1:22" ht="18" x14ac:dyDescent="0.2">
      <c r="A13" s="52" t="s">
        <v>66</v>
      </c>
      <c r="C13" s="46" t="s">
        <v>34</v>
      </c>
      <c r="D13" s="175"/>
      <c r="E13" s="176">
        <v>-3.656E-3</v>
      </c>
      <c r="F13" s="176">
        <v>-2.8176E-2</v>
      </c>
      <c r="G13" s="173"/>
      <c r="H13" s="174" t="s">
        <v>34</v>
      </c>
      <c r="I13" s="70"/>
      <c r="J13" s="71">
        <v>-9.698E-3</v>
      </c>
      <c r="K13" s="71">
        <v>-2.6738999999999999E-2</v>
      </c>
      <c r="L13" s="173"/>
      <c r="M13" s="174" t="s">
        <v>34</v>
      </c>
      <c r="N13" s="175"/>
      <c r="O13" s="176">
        <v>-1.2121E-2</v>
      </c>
      <c r="P13" s="176">
        <v>-2.9426999999999998E-2</v>
      </c>
      <c r="S13" s="141"/>
      <c r="T13" s="142"/>
      <c r="U13" s="142"/>
      <c r="V13" s="142"/>
    </row>
    <row r="14" spans="1:22" ht="18" x14ac:dyDescent="0.2">
      <c r="A14" s="52" t="s">
        <v>67</v>
      </c>
      <c r="C14" s="46" t="s">
        <v>35</v>
      </c>
      <c r="D14" s="70"/>
      <c r="E14" s="71">
        <v>-0.22153200000000001</v>
      </c>
      <c r="F14" s="71">
        <v>0.172762</v>
      </c>
      <c r="G14" s="173"/>
      <c r="H14" s="174" t="s">
        <v>35</v>
      </c>
      <c r="I14" s="175"/>
      <c r="J14" s="176">
        <v>-5.6925999999999997E-2</v>
      </c>
      <c r="K14" s="176">
        <v>-0.105327</v>
      </c>
      <c r="L14" s="173"/>
      <c r="M14" s="174" t="s">
        <v>35</v>
      </c>
      <c r="N14" s="175"/>
      <c r="O14" s="176">
        <v>-0.14718600000000001</v>
      </c>
      <c r="P14" s="176">
        <v>0.17619099999999999</v>
      </c>
      <c r="S14" s="141"/>
      <c r="T14" s="142"/>
      <c r="U14" s="142"/>
      <c r="V14" s="142"/>
    </row>
    <row r="15" spans="1:22" ht="18" x14ac:dyDescent="0.2">
      <c r="A15" s="52" t="s">
        <v>68</v>
      </c>
      <c r="C15" s="46" t="s">
        <v>36</v>
      </c>
      <c r="D15" s="175"/>
      <c r="E15" s="176">
        <v>-0.28815299999999999</v>
      </c>
      <c r="F15" s="176">
        <v>0.73006000000000004</v>
      </c>
      <c r="G15" s="173"/>
      <c r="H15" s="174" t="s">
        <v>36</v>
      </c>
      <c r="I15" s="70"/>
      <c r="J15" s="71">
        <v>-7.0405999999999996E-2</v>
      </c>
      <c r="K15" s="71">
        <v>-4.8212999999999999E-2</v>
      </c>
      <c r="L15" s="173"/>
      <c r="M15" s="174" t="s">
        <v>36</v>
      </c>
      <c r="N15" s="70"/>
      <c r="O15" s="71">
        <v>0.25645000000000001</v>
      </c>
      <c r="P15" s="71">
        <v>0.48599199999999998</v>
      </c>
      <c r="S15" s="141"/>
      <c r="T15" s="142"/>
      <c r="U15" s="142"/>
      <c r="V15" s="142"/>
    </row>
    <row r="16" spans="1:22" ht="18" x14ac:dyDescent="0.2">
      <c r="A16" s="52" t="s">
        <v>69</v>
      </c>
      <c r="C16" s="46" t="s">
        <v>37</v>
      </c>
      <c r="D16" s="70"/>
      <c r="E16" s="71">
        <v>-8.1461000000000006E-2</v>
      </c>
      <c r="F16" s="71">
        <v>-1.272E-2</v>
      </c>
      <c r="G16" s="173"/>
      <c r="H16" s="174" t="s">
        <v>37</v>
      </c>
      <c r="I16" s="70"/>
      <c r="J16" s="71">
        <v>-0.15860199999999999</v>
      </c>
      <c r="K16" s="71">
        <v>-9.9640000000000006E-3</v>
      </c>
      <c r="L16" s="173"/>
      <c r="M16" s="174" t="s">
        <v>37</v>
      </c>
      <c r="N16" s="70"/>
      <c r="O16" s="71">
        <v>-0.1241</v>
      </c>
      <c r="P16" s="71">
        <v>-0.319803</v>
      </c>
      <c r="S16" s="141"/>
      <c r="T16" s="142"/>
      <c r="U16" s="142"/>
      <c r="V16" s="142"/>
    </row>
    <row r="17" spans="1:22" ht="18" x14ac:dyDescent="0.2">
      <c r="A17" s="42" t="s">
        <v>39</v>
      </c>
      <c r="C17" s="46" t="s">
        <v>7</v>
      </c>
      <c r="D17" s="70"/>
      <c r="E17" s="71">
        <v>-3.9440999999999997E-2</v>
      </c>
      <c r="F17" s="71">
        <v>7.3652999999999996E-2</v>
      </c>
      <c r="G17" s="173"/>
      <c r="H17" s="174" t="s">
        <v>7</v>
      </c>
      <c r="I17" s="70"/>
      <c r="J17" s="71">
        <v>-1.5635E-2</v>
      </c>
      <c r="K17" s="71">
        <v>4.6629999999999996E-3</v>
      </c>
      <c r="L17" s="173"/>
      <c r="M17" s="174" t="s">
        <v>7</v>
      </c>
      <c r="N17" s="175"/>
      <c r="O17" s="176">
        <v>-6.0824000000000003E-2</v>
      </c>
      <c r="P17" s="176">
        <v>-3.9819E-2</v>
      </c>
      <c r="S17" s="141"/>
      <c r="T17" s="142"/>
      <c r="U17" s="142"/>
      <c r="V17" s="142"/>
    </row>
    <row r="18" spans="1:22" ht="18" x14ac:dyDescent="0.2">
      <c r="A18" s="42" t="s">
        <v>40</v>
      </c>
      <c r="C18" s="46" t="s">
        <v>0</v>
      </c>
      <c r="D18" s="70"/>
      <c r="E18" s="71">
        <v>3.0263999999999999E-2</v>
      </c>
      <c r="F18" s="71">
        <v>-6.2385999999999997E-2</v>
      </c>
      <c r="G18" s="173"/>
      <c r="H18" s="174" t="s">
        <v>0</v>
      </c>
      <c r="I18" s="70"/>
      <c r="J18" s="71">
        <v>6.1279999999999998E-3</v>
      </c>
      <c r="K18" s="71">
        <v>3.9821000000000002E-2</v>
      </c>
      <c r="L18" s="173"/>
      <c r="M18" s="174" t="s">
        <v>0</v>
      </c>
      <c r="N18" s="70"/>
      <c r="O18" s="71">
        <v>-4.8580000000000003E-3</v>
      </c>
      <c r="P18" s="71">
        <v>4.0575E-2</v>
      </c>
      <c r="S18" s="141"/>
      <c r="T18" s="142"/>
      <c r="U18" s="142"/>
      <c r="V18" s="142"/>
    </row>
    <row r="19" spans="1:22" ht="18" x14ac:dyDescent="0.2">
      <c r="A19" s="42" t="s">
        <v>41</v>
      </c>
      <c r="C19" s="46" t="s">
        <v>8</v>
      </c>
      <c r="D19" s="70"/>
      <c r="E19" s="71">
        <v>3.0823E-2</v>
      </c>
      <c r="F19" s="71">
        <v>3.0981000000000002E-2</v>
      </c>
      <c r="G19" s="173"/>
      <c r="H19" s="174" t="s">
        <v>8</v>
      </c>
      <c r="I19" s="70"/>
      <c r="J19" s="71">
        <v>-3.9898000000000003E-2</v>
      </c>
      <c r="K19" s="71">
        <v>-2.5618999999999999E-2</v>
      </c>
      <c r="L19" s="173"/>
      <c r="M19" s="174" t="s">
        <v>8</v>
      </c>
      <c r="N19" s="70"/>
      <c r="O19" s="71">
        <v>3.9529999999999999E-3</v>
      </c>
      <c r="P19" s="71">
        <v>-8.6809999999999995E-3</v>
      </c>
      <c r="S19" s="141"/>
      <c r="T19" s="142"/>
      <c r="U19" s="142"/>
      <c r="V19" s="142"/>
    </row>
    <row r="20" spans="1:22" ht="18" x14ac:dyDescent="0.2">
      <c r="A20" s="42" t="s">
        <v>42</v>
      </c>
      <c r="C20" s="46" t="s">
        <v>1</v>
      </c>
      <c r="D20" s="70"/>
      <c r="E20" s="71">
        <v>-2.2072999999999999E-2</v>
      </c>
      <c r="F20" s="71">
        <v>5.2100000000000002E-3</v>
      </c>
      <c r="G20" s="173"/>
      <c r="H20" s="174" t="s">
        <v>1</v>
      </c>
      <c r="I20" s="70"/>
      <c r="J20" s="71">
        <v>-3.2682999999999997E-2</v>
      </c>
      <c r="K20" s="71">
        <v>1.8405999999999999E-2</v>
      </c>
      <c r="L20" s="173"/>
      <c r="M20" s="174" t="s">
        <v>1</v>
      </c>
      <c r="N20" s="70"/>
      <c r="O20" s="71">
        <v>-9.6600000000000002E-3</v>
      </c>
      <c r="P20" s="71">
        <v>1.7260999999999999E-2</v>
      </c>
      <c r="S20" s="141"/>
      <c r="T20" s="142"/>
      <c r="U20" s="142"/>
      <c r="V20" s="142"/>
    </row>
    <row r="21" spans="1:22" ht="18" x14ac:dyDescent="0.2">
      <c r="A21" s="42" t="s">
        <v>43</v>
      </c>
      <c r="C21" s="46" t="s">
        <v>2</v>
      </c>
      <c r="D21" s="175"/>
      <c r="E21" s="176">
        <v>6.8900000000000003E-3</v>
      </c>
      <c r="F21" s="176">
        <v>7.5550000000000001E-3</v>
      </c>
      <c r="G21" s="173"/>
      <c r="H21" s="174" t="s">
        <v>2</v>
      </c>
      <c r="I21" s="175"/>
      <c r="J21" s="176">
        <v>6.6600000000000001E-3</v>
      </c>
      <c r="K21" s="176">
        <v>1.1056E-2</v>
      </c>
      <c r="L21" s="173"/>
      <c r="M21" s="174" t="s">
        <v>2</v>
      </c>
      <c r="N21" s="70"/>
      <c r="O21" s="71">
        <v>5.2680000000000001E-3</v>
      </c>
      <c r="P21" s="71">
        <v>6.2719999999999998E-3</v>
      </c>
      <c r="S21" s="141"/>
      <c r="T21" s="142"/>
      <c r="U21" s="142"/>
      <c r="V21" s="142"/>
    </row>
    <row r="22" spans="1:22" ht="18" x14ac:dyDescent="0.2">
      <c r="A22" s="42" t="s">
        <v>44</v>
      </c>
      <c r="C22" s="46" t="s">
        <v>9</v>
      </c>
      <c r="D22" s="70"/>
      <c r="E22" s="71">
        <v>9.9393999999999996E-2</v>
      </c>
      <c r="F22" s="71">
        <v>-1.9122E-2</v>
      </c>
      <c r="G22" s="173"/>
      <c r="H22" s="174" t="s">
        <v>9</v>
      </c>
      <c r="I22" s="70"/>
      <c r="J22" s="71">
        <v>-4.2719E-2</v>
      </c>
      <c r="K22" s="71">
        <v>-9.1607999999999995E-2</v>
      </c>
      <c r="L22" s="173"/>
      <c r="M22" s="174" t="s">
        <v>9</v>
      </c>
      <c r="N22" s="70"/>
      <c r="O22" s="71">
        <v>0.13053300000000001</v>
      </c>
      <c r="P22" s="71">
        <v>-0.27194299999999999</v>
      </c>
      <c r="S22" s="141"/>
      <c r="T22" s="142"/>
      <c r="U22" s="142"/>
      <c r="V22" s="142"/>
    </row>
    <row r="23" spans="1:22" ht="18" x14ac:dyDescent="0.2">
      <c r="A23" s="42" t="s">
        <v>45</v>
      </c>
      <c r="C23" s="46" t="s">
        <v>10</v>
      </c>
      <c r="D23" s="175"/>
      <c r="E23" s="176">
        <v>0.25851099999999999</v>
      </c>
      <c r="F23" s="176">
        <v>-0.16561500000000001</v>
      </c>
      <c r="G23" s="173"/>
      <c r="H23" s="174" t="s">
        <v>10</v>
      </c>
      <c r="I23" s="175"/>
      <c r="J23" s="176">
        <v>-0.110416</v>
      </c>
      <c r="K23" s="176">
        <v>0.251581</v>
      </c>
      <c r="L23" s="173"/>
      <c r="M23" s="174" t="s">
        <v>10</v>
      </c>
      <c r="N23" s="70"/>
      <c r="O23" s="71">
        <v>-9.7636000000000001E-2</v>
      </c>
      <c r="P23" s="71">
        <v>-1.5487000000000001E-2</v>
      </c>
      <c r="S23" s="141"/>
      <c r="T23" s="142"/>
      <c r="U23" s="142"/>
      <c r="V23" s="142"/>
    </row>
    <row r="24" spans="1:22" ht="18" x14ac:dyDescent="0.2">
      <c r="A24" s="42" t="s">
        <v>46</v>
      </c>
      <c r="C24" s="46" t="s">
        <v>3</v>
      </c>
      <c r="D24" s="175"/>
      <c r="E24" s="176">
        <v>8.8336999999999999E-2</v>
      </c>
      <c r="F24" s="176">
        <v>7.4258000000000005E-2</v>
      </c>
      <c r="G24" s="173"/>
      <c r="H24" s="174" t="s">
        <v>3</v>
      </c>
      <c r="I24" s="70"/>
      <c r="J24" s="71">
        <v>-1.7673999999999999E-2</v>
      </c>
      <c r="K24" s="71">
        <v>2.4944999999999998E-2</v>
      </c>
      <c r="L24" s="173"/>
      <c r="M24" s="174" t="s">
        <v>3</v>
      </c>
      <c r="N24" s="175"/>
      <c r="O24" s="176">
        <v>-4.0766999999999998E-2</v>
      </c>
      <c r="P24" s="176">
        <v>0.40399400000000002</v>
      </c>
      <c r="S24" s="141"/>
      <c r="T24" s="142"/>
      <c r="U24" s="142"/>
      <c r="V24" s="142"/>
    </row>
    <row r="25" spans="1:22" ht="18" x14ac:dyDescent="0.2">
      <c r="A25" s="42" t="s">
        <v>47</v>
      </c>
      <c r="C25" s="46" t="s">
        <v>4</v>
      </c>
      <c r="D25" s="70"/>
      <c r="E25" s="71">
        <v>-1.041593</v>
      </c>
      <c r="F25" s="71">
        <v>0.42514299999999999</v>
      </c>
      <c r="G25" s="173"/>
      <c r="H25" s="174" t="s">
        <v>4</v>
      </c>
      <c r="I25" s="70"/>
      <c r="J25" s="71">
        <v>0.29645700000000003</v>
      </c>
      <c r="K25" s="71">
        <v>-0.294933</v>
      </c>
      <c r="L25" s="173"/>
      <c r="M25" s="174" t="s">
        <v>4</v>
      </c>
      <c r="N25" s="70"/>
      <c r="O25" s="71">
        <v>4.4880000000000003E-2</v>
      </c>
      <c r="P25" s="71">
        <v>0.11419899999999999</v>
      </c>
      <c r="S25" s="141"/>
      <c r="T25" s="142"/>
      <c r="U25" s="142"/>
      <c r="V25" s="142"/>
    </row>
    <row r="26" spans="1:22" ht="18" x14ac:dyDescent="0.2">
      <c r="A26" s="42" t="s">
        <v>48</v>
      </c>
      <c r="C26" s="46" t="s">
        <v>5</v>
      </c>
      <c r="D26" s="70"/>
      <c r="E26" s="71">
        <v>-6.3152E-2</v>
      </c>
      <c r="F26" s="71">
        <v>7.8098000000000001E-2</v>
      </c>
      <c r="G26" s="173"/>
      <c r="H26" s="174" t="s">
        <v>5</v>
      </c>
      <c r="I26" s="70"/>
      <c r="J26" s="71">
        <v>7.3900999999999994E-2</v>
      </c>
      <c r="K26" s="71">
        <v>-3.4851E-2</v>
      </c>
      <c r="L26" s="173"/>
      <c r="M26" s="174" t="s">
        <v>5</v>
      </c>
      <c r="N26" s="175"/>
      <c r="O26" s="176">
        <v>1.3495E-2</v>
      </c>
      <c r="P26" s="176">
        <v>-4.5314E-2</v>
      </c>
      <c r="S26" s="141"/>
      <c r="T26" s="142"/>
      <c r="U26" s="142"/>
      <c r="V26" s="142"/>
    </row>
    <row r="27" spans="1:22" ht="18" x14ac:dyDescent="0.2">
      <c r="A27" s="42" t="s">
        <v>1599</v>
      </c>
      <c r="C27" s="46" t="s">
        <v>1598</v>
      </c>
      <c r="D27" s="70"/>
      <c r="E27" s="71">
        <v>0.143428</v>
      </c>
      <c r="F27" s="71">
        <v>-9.4402E-2</v>
      </c>
      <c r="G27" s="173"/>
      <c r="H27" s="174" t="s">
        <v>1598</v>
      </c>
      <c r="I27" s="70"/>
      <c r="J27" s="71">
        <v>-0.51233099999999998</v>
      </c>
      <c r="K27" s="71">
        <v>-0.16264000000000001</v>
      </c>
      <c r="L27" s="173"/>
      <c r="M27" s="174" t="s">
        <v>1598</v>
      </c>
      <c r="N27" s="70"/>
      <c r="O27" s="71">
        <v>0.57735700000000001</v>
      </c>
      <c r="P27" s="71">
        <v>0.60606199999999999</v>
      </c>
      <c r="S27" s="141"/>
      <c r="T27" s="142"/>
      <c r="U27" s="142"/>
      <c r="V27" s="142"/>
    </row>
    <row r="29" spans="1:22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22" x14ac:dyDescent="0.2">
      <c r="D30" s="32">
        <f>1/(1+E57+F57)</f>
        <v>0.28403193093657653</v>
      </c>
      <c r="E30" s="32">
        <f>E57*D30</f>
        <v>0.67672897294947087</v>
      </c>
      <c r="F30" s="32">
        <f>D30*F57</f>
        <v>3.9239096113952543E-2</v>
      </c>
      <c r="I30" s="32">
        <f>1/(1+J57+K57)</f>
        <v>0.5807938906741863</v>
      </c>
      <c r="J30" s="32">
        <f>J57*I30</f>
        <v>0.27970911276365001</v>
      </c>
      <c r="K30" s="32">
        <f>I30*K57</f>
        <v>0.13949699656216372</v>
      </c>
      <c r="N30" s="32">
        <f>1/(1+O57+P57)</f>
        <v>0.30772417339472274</v>
      </c>
      <c r="O30" s="32">
        <f>O57*N30</f>
        <v>0.39886443785053716</v>
      </c>
      <c r="P30" s="32">
        <f>N30*P57</f>
        <v>0.29341138875474004</v>
      </c>
    </row>
    <row r="31" spans="1:22" x14ac:dyDescent="0.2">
      <c r="C31" s="17"/>
      <c r="D31" s="23"/>
      <c r="E31" s="23"/>
      <c r="F31" s="23"/>
    </row>
    <row r="32" spans="1:22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CONTROL'!F4</f>
        <v>9</v>
      </c>
      <c r="E33" s="62">
        <f t="shared" ref="E33:F53" si="0">E5*$A33</f>
        <v>9.9575999999999998E-2</v>
      </c>
      <c r="F33" s="63">
        <f t="shared" si="0"/>
        <v>0.88466399999999989</v>
      </c>
      <c r="J33" s="62">
        <f t="shared" ref="J33:K53" si="1">J5*$A33</f>
        <v>-0.97975800000000002</v>
      </c>
      <c r="K33" s="63">
        <f t="shared" si="1"/>
        <v>-0.29548799999999997</v>
      </c>
      <c r="O33" s="62">
        <f t="shared" ref="O33:P53" si="2">O5*$A33</f>
        <v>0.41961599999999999</v>
      </c>
      <c r="P33" s="63">
        <f t="shared" si="2"/>
        <v>-0.19562399999999999</v>
      </c>
    </row>
    <row r="34" spans="1:16" ht="17" x14ac:dyDescent="0.25">
      <c r="A34" s="50">
        <f>'VAR CONTROL'!F5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CONTROL'!F6</f>
        <v>28</v>
      </c>
      <c r="D35" s="66"/>
      <c r="E35" s="64">
        <f t="shared" si="0"/>
        <v>-2.0089999999999999</v>
      </c>
      <c r="F35" s="65">
        <f t="shared" si="0"/>
        <v>-3.5058240000000005</v>
      </c>
      <c r="J35" s="64">
        <f t="shared" si="1"/>
        <v>-0.65979200000000005</v>
      </c>
      <c r="K35" s="65">
        <f t="shared" si="1"/>
        <v>-1.0323599999999999</v>
      </c>
      <c r="O35" s="64">
        <f t="shared" si="2"/>
        <v>1.7187520000000001</v>
      </c>
      <c r="P35" s="65">
        <f t="shared" si="2"/>
        <v>-0.52665200000000001</v>
      </c>
    </row>
    <row r="36" spans="1:16" ht="17" x14ac:dyDescent="0.25">
      <c r="A36" s="50">
        <f>'VAR CONTROL'!F7</f>
        <v>175.26</v>
      </c>
      <c r="D36" s="67"/>
      <c r="E36" s="64">
        <f t="shared" si="0"/>
        <v>-7.5605411399999989</v>
      </c>
      <c r="F36" s="65">
        <f t="shared" si="0"/>
        <v>6.8647589399999998</v>
      </c>
      <c r="J36" s="64">
        <f t="shared" si="1"/>
        <v>-2.1968840999999997</v>
      </c>
      <c r="K36" s="65">
        <f t="shared" si="1"/>
        <v>-0.39345869999999999</v>
      </c>
      <c r="O36" s="64">
        <f t="shared" si="2"/>
        <v>-6.8726456399999991</v>
      </c>
      <c r="P36" s="65">
        <f t="shared" si="2"/>
        <v>-17.416287239999999</v>
      </c>
    </row>
    <row r="37" spans="1:16" ht="17" x14ac:dyDescent="0.25">
      <c r="A37" s="50">
        <f>'VAR CONTROL'!F8</f>
        <v>77.110640000000004</v>
      </c>
      <c r="E37" s="64">
        <f t="shared" si="0"/>
        <v>3.7886770751200003</v>
      </c>
      <c r="F37" s="65">
        <f t="shared" si="0"/>
        <v>-2.1676572010399999</v>
      </c>
      <c r="J37" s="64">
        <f t="shared" si="1"/>
        <v>6.3539938466400008</v>
      </c>
      <c r="K37" s="65">
        <f t="shared" si="1"/>
        <v>-1.1237333567200001</v>
      </c>
      <c r="O37" s="64">
        <f t="shared" si="2"/>
        <v>2.6359501177600002</v>
      </c>
      <c r="P37" s="65">
        <f t="shared" si="2"/>
        <v>0.12738677728</v>
      </c>
    </row>
    <row r="38" spans="1:16" ht="17" x14ac:dyDescent="0.25">
      <c r="A38" s="50">
        <f>'VAR CONTROL'!F9</f>
        <v>74</v>
      </c>
      <c r="E38" s="64">
        <f t="shared" si="0"/>
        <v>5.9257719999999994</v>
      </c>
      <c r="F38" s="65">
        <f t="shared" si="0"/>
        <v>-2.7824</v>
      </c>
      <c r="J38" s="64">
        <f t="shared" si="1"/>
        <v>-3.4691939999999999</v>
      </c>
      <c r="K38" s="65">
        <f t="shared" si="1"/>
        <v>2.3706640000000001</v>
      </c>
      <c r="O38" s="64">
        <f t="shared" si="2"/>
        <v>2.39575</v>
      </c>
      <c r="P38" s="65">
        <f t="shared" si="2"/>
        <v>18.216505999999999</v>
      </c>
    </row>
    <row r="39" spans="1:16" ht="17" x14ac:dyDescent="0.25">
      <c r="A39" s="50">
        <f>'VAR CONTROL'!F10</f>
        <v>7</v>
      </c>
      <c r="E39" s="64">
        <f t="shared" si="0"/>
        <v>-8.2270999999999997E-2</v>
      </c>
      <c r="F39" s="65">
        <f t="shared" si="0"/>
        <v>0.326403</v>
      </c>
      <c r="J39" s="64">
        <f t="shared" si="1"/>
        <v>0.53503800000000001</v>
      </c>
      <c r="K39" s="65">
        <f t="shared" si="1"/>
        <v>0.13062699999999999</v>
      </c>
      <c r="O39" s="64">
        <f t="shared" si="2"/>
        <v>-7.7755999999999992E-2</v>
      </c>
      <c r="P39" s="65">
        <f t="shared" si="2"/>
        <v>-0.13115199999999999</v>
      </c>
    </row>
    <row r="40" spans="1:16" ht="17" x14ac:dyDescent="0.25">
      <c r="A40" s="50">
        <f>'VAR CONTROL'!F11</f>
        <v>1</v>
      </c>
      <c r="E40" s="64">
        <f t="shared" si="0"/>
        <v>1.0576909999999999</v>
      </c>
      <c r="F40" s="65">
        <f t="shared" si="0"/>
        <v>-0.87968599999999997</v>
      </c>
      <c r="J40" s="64">
        <f t="shared" si="1"/>
        <v>0.81670600000000004</v>
      </c>
      <c r="K40" s="65">
        <f t="shared" si="1"/>
        <v>0.56384999999999996</v>
      </c>
      <c r="O40" s="64">
        <f t="shared" si="2"/>
        <v>4.8755E-2</v>
      </c>
      <c r="P40" s="65">
        <f t="shared" si="2"/>
        <v>0.43383500000000003</v>
      </c>
    </row>
    <row r="41" spans="1:16" ht="17" x14ac:dyDescent="0.25">
      <c r="A41" s="50">
        <f>'VAR CONTROL'!F12</f>
        <v>30.857142857142858</v>
      </c>
      <c r="E41" s="64">
        <f t="shared" si="0"/>
        <v>-0.11281371428571428</v>
      </c>
      <c r="F41" s="65">
        <f t="shared" si="0"/>
        <v>-0.86943085714285717</v>
      </c>
      <c r="J41" s="64">
        <f t="shared" si="1"/>
        <v>-0.29925257142857142</v>
      </c>
      <c r="K41" s="65">
        <f t="shared" si="1"/>
        <v>-0.82508914285714285</v>
      </c>
      <c r="O41" s="64">
        <f t="shared" si="2"/>
        <v>-0.37401942857142856</v>
      </c>
      <c r="P41" s="65">
        <f t="shared" si="2"/>
        <v>-0.90803314285714287</v>
      </c>
    </row>
    <row r="42" spans="1:16" ht="17" x14ac:dyDescent="0.25">
      <c r="A42" s="50">
        <f>'VAR CONTROL'!F13</f>
        <v>0.7142857142857143</v>
      </c>
      <c r="E42" s="64">
        <f t="shared" si="0"/>
        <v>-0.15823714285714285</v>
      </c>
      <c r="F42" s="65">
        <f t="shared" si="0"/>
        <v>0.12340142857142858</v>
      </c>
      <c r="J42" s="64">
        <f t="shared" si="1"/>
        <v>-4.0661428571428571E-2</v>
      </c>
      <c r="K42" s="65">
        <f t="shared" si="1"/>
        <v>-7.5233571428571427E-2</v>
      </c>
      <c r="O42" s="64">
        <f t="shared" si="2"/>
        <v>-0.10513285714285715</v>
      </c>
      <c r="P42" s="65">
        <f t="shared" si="2"/>
        <v>0.12585071428571429</v>
      </c>
    </row>
    <row r="43" spans="1:16" ht="17" x14ac:dyDescent="0.25">
      <c r="A43" s="50">
        <f>'VAR CONTROL'!F14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CONTROL'!F15</f>
        <v>1.1428571428571428</v>
      </c>
      <c r="E44" s="64">
        <f t="shared" si="0"/>
        <v>-9.3098285714285717E-2</v>
      </c>
      <c r="F44" s="65">
        <f t="shared" si="0"/>
        <v>-1.4537142857142856E-2</v>
      </c>
      <c r="J44" s="64">
        <f t="shared" si="1"/>
        <v>-0.18125942857142854</v>
      </c>
      <c r="K44" s="65">
        <f t="shared" si="1"/>
        <v>-1.1387428571428571E-2</v>
      </c>
      <c r="O44" s="64">
        <f t="shared" si="2"/>
        <v>-0.14182857142857141</v>
      </c>
      <c r="P44" s="65">
        <f t="shared" si="2"/>
        <v>-0.36548914285714285</v>
      </c>
    </row>
    <row r="45" spans="1:16" ht="17" x14ac:dyDescent="0.25">
      <c r="A45" s="50">
        <f>'VAR CONTROL'!F16</f>
        <v>-2</v>
      </c>
      <c r="E45" s="64">
        <f t="shared" si="0"/>
        <v>7.8881999999999994E-2</v>
      </c>
      <c r="F45" s="65">
        <f t="shared" si="0"/>
        <v>-0.14730599999999999</v>
      </c>
      <c r="J45" s="64">
        <f t="shared" si="1"/>
        <v>3.1269999999999999E-2</v>
      </c>
      <c r="K45" s="65">
        <f t="shared" si="1"/>
        <v>-9.3259999999999992E-3</v>
      </c>
      <c r="O45" s="64">
        <f t="shared" si="2"/>
        <v>0.12164800000000001</v>
      </c>
      <c r="P45" s="65">
        <f t="shared" si="2"/>
        <v>7.9638E-2</v>
      </c>
    </row>
    <row r="46" spans="1:16" ht="17" x14ac:dyDescent="0.25">
      <c r="A46" s="50">
        <f>'VAR CONTROL'!F17</f>
        <v>5.0799999999999841</v>
      </c>
      <c r="E46" s="64">
        <f t="shared" si="0"/>
        <v>0.15374111999999951</v>
      </c>
      <c r="F46" s="65">
        <f t="shared" si="0"/>
        <v>-0.31692087999999902</v>
      </c>
      <c r="J46" s="64">
        <f t="shared" si="1"/>
        <v>3.1130239999999903E-2</v>
      </c>
      <c r="K46" s="65">
        <f t="shared" si="1"/>
        <v>0.20229067999999939</v>
      </c>
      <c r="O46" s="64">
        <f t="shared" si="2"/>
        <v>-2.4678639999999925E-2</v>
      </c>
      <c r="P46" s="65">
        <f t="shared" si="2"/>
        <v>0.20612099999999936</v>
      </c>
    </row>
    <row r="47" spans="1:16" ht="17" x14ac:dyDescent="0.25">
      <c r="A47" s="50">
        <f>'VAR CONTROL'!F18</f>
        <v>11.339799999999997</v>
      </c>
      <c r="E47" s="64">
        <f t="shared" si="0"/>
        <v>0.34952665539999989</v>
      </c>
      <c r="F47" s="65">
        <f t="shared" si="0"/>
        <v>0.35131834379999993</v>
      </c>
      <c r="J47" s="64">
        <f t="shared" si="1"/>
        <v>-0.45243534039999989</v>
      </c>
      <c r="K47" s="65">
        <f t="shared" si="1"/>
        <v>-0.29051433619999989</v>
      </c>
      <c r="O47" s="64">
        <f t="shared" si="2"/>
        <v>4.4826229399999987E-2</v>
      </c>
      <c r="P47" s="65">
        <f t="shared" si="2"/>
        <v>-9.8440803799999962E-2</v>
      </c>
    </row>
    <row r="48" spans="1:16" ht="17" x14ac:dyDescent="0.25">
      <c r="A48" s="50">
        <f>'VAR CONTROL'!F19</f>
        <v>-1</v>
      </c>
      <c r="E48" s="64">
        <f t="shared" si="0"/>
        <v>2.2072999999999999E-2</v>
      </c>
      <c r="F48" s="65">
        <f t="shared" si="0"/>
        <v>-5.2100000000000002E-3</v>
      </c>
      <c r="J48" s="64">
        <f t="shared" si="1"/>
        <v>3.2682999999999997E-2</v>
      </c>
      <c r="K48" s="65">
        <f t="shared" si="1"/>
        <v>-1.8405999999999999E-2</v>
      </c>
      <c r="O48" s="64">
        <f t="shared" si="2"/>
        <v>9.6600000000000002E-3</v>
      </c>
      <c r="P48" s="65">
        <f t="shared" si="2"/>
        <v>-1.7260999999999999E-2</v>
      </c>
    </row>
    <row r="49" spans="1:16" ht="17" x14ac:dyDescent="0.25">
      <c r="A49" s="50">
        <f>'VAR CONTROL'!F20</f>
        <v>-22.767857142857142</v>
      </c>
      <c r="E49" s="64">
        <f t="shared" si="0"/>
        <v>-0.15687053571428572</v>
      </c>
      <c r="F49" s="65">
        <f t="shared" si="0"/>
        <v>-0.17201116071428571</v>
      </c>
      <c r="J49" s="64">
        <f t="shared" si="1"/>
        <v>-0.15163392857142857</v>
      </c>
      <c r="K49" s="65">
        <f t="shared" si="1"/>
        <v>-0.25172142857142854</v>
      </c>
      <c r="O49" s="64">
        <f t="shared" si="2"/>
        <v>-0.11994107142857142</v>
      </c>
      <c r="P49" s="65">
        <f t="shared" si="2"/>
        <v>-0.14279999999999998</v>
      </c>
    </row>
    <row r="50" spans="1:16" ht="17" x14ac:dyDescent="0.25">
      <c r="A50" s="50">
        <f>'VAR CONTROL'!F21</f>
        <v>-0.7857142857142857</v>
      </c>
      <c r="E50" s="64">
        <f t="shared" si="0"/>
        <v>-7.8095285714285714E-2</v>
      </c>
      <c r="F50" s="65">
        <f t="shared" si="0"/>
        <v>1.5024428571428571E-2</v>
      </c>
      <c r="J50" s="64">
        <f t="shared" si="1"/>
        <v>3.3564928571428572E-2</v>
      </c>
      <c r="K50" s="65">
        <f t="shared" si="1"/>
        <v>7.1977714285714284E-2</v>
      </c>
      <c r="O50" s="64">
        <f t="shared" si="2"/>
        <v>-0.10256164285714287</v>
      </c>
      <c r="P50" s="65">
        <f t="shared" si="2"/>
        <v>0.21366949999999998</v>
      </c>
    </row>
    <row r="51" spans="1:16" ht="17" x14ac:dyDescent="0.25">
      <c r="A51" s="50">
        <f>'VAR CONTROL'!F22</f>
        <v>-0.375</v>
      </c>
      <c r="E51" s="64">
        <f t="shared" si="0"/>
        <v>-9.6941625000000003E-2</v>
      </c>
      <c r="F51" s="65">
        <f t="shared" si="0"/>
        <v>6.2105625000000005E-2</v>
      </c>
      <c r="J51" s="64">
        <f t="shared" si="1"/>
        <v>4.1405999999999998E-2</v>
      </c>
      <c r="K51" s="65">
        <f t="shared" si="1"/>
        <v>-9.4342874999999993E-2</v>
      </c>
      <c r="O51" s="64">
        <f t="shared" si="2"/>
        <v>3.66135E-2</v>
      </c>
      <c r="P51" s="65">
        <f t="shared" si="2"/>
        <v>5.8076250000000003E-3</v>
      </c>
    </row>
    <row r="52" spans="1:16" ht="17" x14ac:dyDescent="0.25">
      <c r="A52" s="50">
        <f>'VAR CONTROL'!F23</f>
        <v>-0.23214285714285721</v>
      </c>
      <c r="E52" s="64">
        <f t="shared" si="0"/>
        <v>-2.0506803571428575E-2</v>
      </c>
      <c r="F52" s="65">
        <f t="shared" si="0"/>
        <v>-1.7238464285714291E-2</v>
      </c>
      <c r="J52" s="64">
        <f t="shared" si="1"/>
        <v>4.1028928571428579E-3</v>
      </c>
      <c r="K52" s="65">
        <f t="shared" si="1"/>
        <v>-5.7908035714285726E-3</v>
      </c>
      <c r="O52" s="64">
        <f t="shared" si="2"/>
        <v>9.4637678571428598E-3</v>
      </c>
      <c r="P52" s="65">
        <f t="shared" si="2"/>
        <v>-9.378432142857146E-2</v>
      </c>
    </row>
    <row r="53" spans="1:16" ht="17" x14ac:dyDescent="0.25">
      <c r="A53" s="50">
        <f>'VAR CONTROL'!F24</f>
        <v>0.125</v>
      </c>
      <c r="E53" s="64">
        <f t="shared" si="0"/>
        <v>-0.130199125</v>
      </c>
      <c r="F53" s="65">
        <f t="shared" si="0"/>
        <v>5.3142874999999999E-2</v>
      </c>
      <c r="J53" s="64">
        <f t="shared" si="1"/>
        <v>3.7057125000000003E-2</v>
      </c>
      <c r="K53" s="65">
        <f t="shared" si="1"/>
        <v>-3.6866625E-2</v>
      </c>
      <c r="O53" s="64">
        <f t="shared" si="2"/>
        <v>5.6100000000000004E-3</v>
      </c>
      <c r="P53" s="65">
        <f t="shared" si="2"/>
        <v>1.4274874999999999E-2</v>
      </c>
    </row>
    <row r="54" spans="1:16" ht="17" x14ac:dyDescent="0.25">
      <c r="A54" s="51">
        <f>'VAR CONTROL'!F25</f>
        <v>4</v>
      </c>
      <c r="E54" s="64">
        <f t="shared" ref="E54:F54" si="3">E26*$A54</f>
        <v>-0.252608</v>
      </c>
      <c r="F54" s="65">
        <f t="shared" si="3"/>
        <v>0.312392</v>
      </c>
      <c r="J54" s="64">
        <f t="shared" ref="J54:K54" si="4">J26*$A54</f>
        <v>0.29560399999999998</v>
      </c>
      <c r="K54" s="65">
        <f t="shared" si="4"/>
        <v>-0.139404</v>
      </c>
      <c r="O54" s="64">
        <f t="shared" ref="O54:P54" si="5">O26*$A54</f>
        <v>5.398E-2</v>
      </c>
      <c r="P54" s="65">
        <f t="shared" si="5"/>
        <v>-0.181256</v>
      </c>
    </row>
    <row r="55" spans="1:16" ht="17" x14ac:dyDescent="0.25">
      <c r="A55" s="51">
        <f>'VAR CONTROL'!F26</f>
        <v>1</v>
      </c>
      <c r="E55" s="68">
        <f t="shared" ref="E55:F55" si="6">E27*$A55</f>
        <v>0.143428</v>
      </c>
      <c r="F55" s="69">
        <f t="shared" si="6"/>
        <v>-9.4402E-2</v>
      </c>
      <c r="J55" s="68">
        <f t="shared" ref="J55:K55" si="7">J27*$A55</f>
        <v>-0.51233099999999998</v>
      </c>
      <c r="K55" s="69">
        <f t="shared" si="7"/>
        <v>-0.16264000000000001</v>
      </c>
      <c r="O55" s="68">
        <f t="shared" ref="O55:P55" si="8">O27*$A55</f>
        <v>0.57735700000000001</v>
      </c>
      <c r="P55" s="69">
        <f t="shared" si="8"/>
        <v>0.60606199999999999</v>
      </c>
    </row>
    <row r="56" spans="1:16" x14ac:dyDescent="0.2">
      <c r="E56" s="62">
        <f>SUM(E33:E55)</f>
        <v>0.8681841926628574</v>
      </c>
      <c r="F56" s="63">
        <f>SUM(F33:F55)</f>
        <v>-1.9794130650971429</v>
      </c>
      <c r="J56" s="62">
        <f>SUM(J33:J55)</f>
        <v>-0.73064576447428475</v>
      </c>
      <c r="K56" s="63">
        <f>SUM(K33:K55)</f>
        <v>-1.4263528736342863</v>
      </c>
      <c r="O56" s="62">
        <f>SUM(O33:O55)</f>
        <v>0.25941776358857249</v>
      </c>
      <c r="P56" s="63">
        <f>SUM(P33:P55)</f>
        <v>-4.7628159377142709E-2</v>
      </c>
    </row>
    <row r="57" spans="1:16" x14ac:dyDescent="0.2">
      <c r="E57" s="68">
        <f>EXP(E56)</f>
        <v>2.3825806159117455</v>
      </c>
      <c r="F57" s="69">
        <f>EXP(F56)</f>
        <v>0.13815029875184884</v>
      </c>
      <c r="J57" s="68">
        <f>EXP(J56)</f>
        <v>0.4815978908437954</v>
      </c>
      <c r="K57" s="69">
        <f>EXP(K56)</f>
        <v>0.24018330564778395</v>
      </c>
      <c r="O57" s="68">
        <f>EXP(O56)</f>
        <v>1.2961751865327373</v>
      </c>
      <c r="P57" s="69">
        <f>EXP(P56)</f>
        <v>0.95348826683946131</v>
      </c>
    </row>
  </sheetData>
  <mergeCells count="5">
    <mergeCell ref="C1:P1"/>
    <mergeCell ref="D2:F2"/>
    <mergeCell ref="I2:K2"/>
    <mergeCell ref="N2:P2"/>
    <mergeCell ref="A2:A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S41"/>
  <sheetViews>
    <sheetView showGridLines="0" zoomScale="90" zoomScaleNormal="90" zoomScalePageLayoutView="90" workbookViewId="0">
      <selection activeCell="F17" sqref="F17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85" t="s">
        <v>49</v>
      </c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</row>
    <row r="2" spans="1:18" ht="7" customHeight="1" x14ac:dyDescent="0.2">
      <c r="C2" s="1"/>
      <c r="I2" s="1"/>
      <c r="O2" s="1"/>
    </row>
    <row r="3" spans="1:18" x14ac:dyDescent="0.2">
      <c r="A3" s="186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87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CONTROL'!G16</f>
        <v>2</v>
      </c>
      <c r="F5" s="13">
        <f t="shared" ref="F5:F14" si="0">D5*E5</f>
        <v>-0.14661763634791419</v>
      </c>
      <c r="I5" s="43" t="s">
        <v>7</v>
      </c>
      <c r="J5" s="44">
        <v>-6.3471811562282099E-2</v>
      </c>
      <c r="K5" s="38">
        <f>E5</f>
        <v>2</v>
      </c>
      <c r="L5" s="13">
        <f t="shared" ref="L5:L14" si="1">J5*K5</f>
        <v>-0.1269436231245642</v>
      </c>
      <c r="O5" s="43" t="s">
        <v>7</v>
      </c>
      <c r="P5" s="45">
        <v>-2.4365311261244402E-2</v>
      </c>
      <c r="Q5" s="38">
        <f>E5</f>
        <v>2</v>
      </c>
      <c r="R5" s="13">
        <f t="shared" ref="R5:R14" si="2">P5*Q5</f>
        <v>-4.8730622522488803E-2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CONTROL'!G17</f>
        <v>-5.0799999999999841</v>
      </c>
      <c r="F6" s="14">
        <f t="shared" si="0"/>
        <v>0.25964258780587035</v>
      </c>
      <c r="I6" s="43" t="s">
        <v>0</v>
      </c>
      <c r="J6" s="45">
        <v>1.34099153446016E-2</v>
      </c>
      <c r="K6" s="38">
        <f t="shared" ref="K6:K14" si="3">E6</f>
        <v>-5.0799999999999841</v>
      </c>
      <c r="L6" s="14">
        <f t="shared" si="1"/>
        <v>-6.8122369950575912E-2</v>
      </c>
      <c r="O6" s="43" t="s">
        <v>0</v>
      </c>
      <c r="P6" s="45">
        <v>-1.0731113050853801E-2</v>
      </c>
      <c r="Q6" s="38">
        <f t="shared" ref="Q6:Q14" si="4">E6</f>
        <v>-5.0799999999999841</v>
      </c>
      <c r="R6" s="14">
        <f t="shared" si="2"/>
        <v>5.4514054298337139E-2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CONTROL'!G18</f>
        <v>-11.339799999999997</v>
      </c>
      <c r="F7" s="14">
        <f t="shared" si="0"/>
        <v>-0.53161258785759691</v>
      </c>
      <c r="I7" s="43" t="s">
        <v>8</v>
      </c>
      <c r="J7" s="45">
        <v>-1.046756564121E-2</v>
      </c>
      <c r="K7" s="38">
        <f t="shared" si="3"/>
        <v>-11.339799999999997</v>
      </c>
      <c r="L7" s="14">
        <f t="shared" si="1"/>
        <v>0.11870010085819312</v>
      </c>
      <c r="O7" s="43" t="s">
        <v>8</v>
      </c>
      <c r="P7" s="45">
        <v>1.09577919514595E-3</v>
      </c>
      <c r="Q7" s="38">
        <f t="shared" si="4"/>
        <v>-11.339799999999997</v>
      </c>
      <c r="R7" s="14">
        <f t="shared" si="2"/>
        <v>-1.2425916917116041E-2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CONTROL'!G19</f>
        <v>1</v>
      </c>
      <c r="F8" s="14">
        <f t="shared" si="0"/>
        <v>1.4153101499854199E-2</v>
      </c>
      <c r="I8" s="43" t="s">
        <v>1</v>
      </c>
      <c r="J8" s="45">
        <v>3.9539534857285903E-2</v>
      </c>
      <c r="K8" s="38">
        <f t="shared" si="3"/>
        <v>1</v>
      </c>
      <c r="L8" s="14">
        <f t="shared" si="1"/>
        <v>3.9539534857285903E-2</v>
      </c>
      <c r="O8" s="43" t="s">
        <v>1</v>
      </c>
      <c r="P8" s="45">
        <v>5.4280175962147801E-3</v>
      </c>
      <c r="Q8" s="38">
        <f t="shared" si="4"/>
        <v>1</v>
      </c>
      <c r="R8" s="14">
        <f t="shared" si="2"/>
        <v>5.4280175962147801E-3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CONTROL'!G20</f>
        <v>22.767857142857142</v>
      </c>
      <c r="F9" s="14">
        <f t="shared" si="0"/>
        <v>0.13579247723542717</v>
      </c>
      <c r="I9" s="43" t="s">
        <v>2</v>
      </c>
      <c r="J9" s="45">
        <v>3.6913096915039E-3</v>
      </c>
      <c r="K9" s="38">
        <f t="shared" si="3"/>
        <v>22.767857142857142</v>
      </c>
      <c r="L9" s="14">
        <f t="shared" si="1"/>
        <v>8.4043211726204867E-2</v>
      </c>
      <c r="O9" s="43" t="s">
        <v>2</v>
      </c>
      <c r="P9" s="45">
        <v>3.7593310721581799E-3</v>
      </c>
      <c r="Q9" s="38">
        <f t="shared" si="4"/>
        <v>22.767857142857142</v>
      </c>
      <c r="R9" s="14">
        <f t="shared" si="2"/>
        <v>8.5591912803601414E-2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CONTROL'!G21</f>
        <v>0.7857142857142857</v>
      </c>
      <c r="F10" s="14">
        <f t="shared" si="0"/>
        <v>1.087566618363657E-2</v>
      </c>
      <c r="I10" s="43" t="s">
        <v>9</v>
      </c>
      <c r="J10" s="45">
        <v>0.14923457684220701</v>
      </c>
      <c r="K10" s="38">
        <f t="shared" si="3"/>
        <v>0.7857142857142857</v>
      </c>
      <c r="L10" s="14">
        <f t="shared" si="1"/>
        <v>0.11725573894744835</v>
      </c>
      <c r="O10" s="43" t="s">
        <v>9</v>
      </c>
      <c r="P10" s="45">
        <v>8.0006416693852E-2</v>
      </c>
      <c r="Q10" s="38">
        <f t="shared" si="4"/>
        <v>0.7857142857142857</v>
      </c>
      <c r="R10" s="14">
        <f t="shared" si="2"/>
        <v>6.2862184545169425E-2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CONTROL'!G22</f>
        <v>0.375</v>
      </c>
      <c r="F11" s="14">
        <f t="shared" si="0"/>
        <v>-9.3697957226589745E-3</v>
      </c>
      <c r="I11" s="43" t="s">
        <v>10</v>
      </c>
      <c r="J11" s="45">
        <v>1.88682224289532E-2</v>
      </c>
      <c r="K11" s="38">
        <f t="shared" si="3"/>
        <v>0.375</v>
      </c>
      <c r="L11" s="14">
        <f t="shared" si="1"/>
        <v>7.0755834108574504E-3</v>
      </c>
      <c r="O11" s="43" t="s">
        <v>10</v>
      </c>
      <c r="P11" s="45">
        <v>-0.189809504907545</v>
      </c>
      <c r="Q11" s="38">
        <f t="shared" si="4"/>
        <v>0.375</v>
      </c>
      <c r="R11" s="14">
        <f t="shared" si="2"/>
        <v>-7.1178564340329376E-2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CONTROL'!G23</f>
        <v>0.23214285714285721</v>
      </c>
      <c r="F12" s="14">
        <f t="shared" si="0"/>
        <v>1.1147002076559099E-2</v>
      </c>
      <c r="I12" s="43" t="s">
        <v>3</v>
      </c>
      <c r="J12" s="45">
        <v>1.84432238541802E-2</v>
      </c>
      <c r="K12" s="38">
        <f t="shared" si="3"/>
        <v>0.23214285714285721</v>
      </c>
      <c r="L12" s="14">
        <f t="shared" si="1"/>
        <v>4.2814626804346901E-3</v>
      </c>
      <c r="O12" s="43" t="s">
        <v>3</v>
      </c>
      <c r="P12" s="45">
        <v>6.7268924802394298E-2</v>
      </c>
      <c r="Q12" s="38">
        <f t="shared" si="4"/>
        <v>0.23214285714285721</v>
      </c>
      <c r="R12" s="14">
        <f t="shared" si="2"/>
        <v>1.5616000400555823E-2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CONTROL'!G24</f>
        <v>-0.125</v>
      </c>
      <c r="F13" s="14">
        <f t="shared" si="0"/>
        <v>-3.3717243745179375E-3</v>
      </c>
      <c r="I13" s="43" t="s">
        <v>4</v>
      </c>
      <c r="J13" s="45">
        <v>0.170030189598675</v>
      </c>
      <c r="K13" s="38">
        <f t="shared" si="3"/>
        <v>-0.125</v>
      </c>
      <c r="L13" s="14">
        <f t="shared" si="1"/>
        <v>-2.1253773699834375E-2</v>
      </c>
      <c r="O13" s="43" t="s">
        <v>4</v>
      </c>
      <c r="P13" s="45">
        <v>0.47130253930455401</v>
      </c>
      <c r="Q13" s="38">
        <f t="shared" si="4"/>
        <v>-0.125</v>
      </c>
      <c r="R13" s="14">
        <f t="shared" si="2"/>
        <v>-5.8912817413069252E-2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CONTROL'!G25</f>
        <v>-4</v>
      </c>
      <c r="F14" s="14">
        <f t="shared" si="0"/>
        <v>-6.2697932018721605E-2</v>
      </c>
      <c r="I14" s="43" t="s">
        <v>5</v>
      </c>
      <c r="J14" s="45">
        <v>2.7277496163697301E-2</v>
      </c>
      <c r="K14" s="38">
        <f t="shared" si="3"/>
        <v>-4</v>
      </c>
      <c r="L14" s="14">
        <f t="shared" si="1"/>
        <v>-0.1091099846547892</v>
      </c>
      <c r="O14" s="43" t="s">
        <v>5</v>
      </c>
      <c r="P14" s="45">
        <v>7.4700207584929304E-2</v>
      </c>
      <c r="Q14" s="38">
        <f t="shared" si="4"/>
        <v>-4</v>
      </c>
      <c r="R14" s="14">
        <f t="shared" si="2"/>
        <v>-0.29880083033971722</v>
      </c>
    </row>
    <row r="15" spans="1:18" x14ac:dyDescent="0.2">
      <c r="C15" s="4"/>
      <c r="D15" s="21"/>
      <c r="E15" s="33" t="s">
        <v>14</v>
      </c>
      <c r="F15" s="34">
        <f>SUM(F4:F14)</f>
        <v>-0.37977143152006221</v>
      </c>
      <c r="G15" s="15"/>
      <c r="H15" s="15"/>
      <c r="I15" s="16"/>
      <c r="J15" s="22"/>
      <c r="K15" s="35" t="s">
        <v>14</v>
      </c>
      <c r="L15" s="34">
        <f>SUM(L4:L14)</f>
        <v>1.0783661050660726E-2</v>
      </c>
      <c r="M15" s="15"/>
      <c r="N15" s="15"/>
      <c r="O15" s="16"/>
      <c r="P15" s="22"/>
      <c r="Q15" s="35" t="s">
        <v>14</v>
      </c>
      <c r="R15" s="34">
        <f>SUM(R4:R14)</f>
        <v>-0.30678807188884211</v>
      </c>
    </row>
    <row r="16" spans="1:18" x14ac:dyDescent="0.2">
      <c r="C16" s="4"/>
      <c r="E16" s="33" t="s">
        <v>16</v>
      </c>
      <c r="F16" s="34">
        <f>EXP(F15)</f>
        <v>0.68401773624018258</v>
      </c>
      <c r="G16" s="15"/>
      <c r="H16" s="15"/>
      <c r="I16" s="16"/>
      <c r="J16" s="23"/>
      <c r="K16" s="35" t="s">
        <v>16</v>
      </c>
      <c r="L16" s="34">
        <f>EXP(L15)</f>
        <v>1.0108420142887069</v>
      </c>
      <c r="M16" s="15"/>
      <c r="N16" s="15"/>
      <c r="O16" s="16"/>
      <c r="P16" s="23"/>
      <c r="Q16" s="35" t="s">
        <v>16</v>
      </c>
      <c r="R16" s="34">
        <f>EXP(R15)</f>
        <v>0.73580652247107348</v>
      </c>
    </row>
    <row r="17" spans="3:18" x14ac:dyDescent="0.2">
      <c r="C17" s="4"/>
      <c r="E17" s="33" t="s">
        <v>15</v>
      </c>
      <c r="F17" s="36">
        <f>F16/(1+F16)</f>
        <v>0.4061820261865845</v>
      </c>
      <c r="G17" s="15"/>
      <c r="H17" s="15"/>
      <c r="I17" s="16"/>
      <c r="J17" s="23"/>
      <c r="K17" s="35" t="s">
        <v>15</v>
      </c>
      <c r="L17" s="36">
        <f>L16/(1+L16)</f>
        <v>0.50269588913789975</v>
      </c>
      <c r="M17" s="15"/>
      <c r="N17" s="15"/>
      <c r="O17" s="16"/>
      <c r="P17" s="23"/>
      <c r="Q17" s="35" t="s">
        <v>15</v>
      </c>
      <c r="R17" s="36">
        <f>R16/(1+R16)</f>
        <v>0.42389892706681853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57"/>
  <sheetViews>
    <sheetView showGridLines="0" topLeftCell="A12" workbookViewId="0">
      <selection activeCell="R26" sqref="R26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6384" width="10.83203125" style="47"/>
  </cols>
  <sheetData>
    <row r="1" spans="1:16" s="2" customFormat="1" x14ac:dyDescent="0.2">
      <c r="C1" s="185" t="s">
        <v>24</v>
      </c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</row>
    <row r="2" spans="1:16" s="53" customFormat="1" x14ac:dyDescent="0.2">
      <c r="A2" s="186" t="s">
        <v>38</v>
      </c>
      <c r="C2" s="54"/>
      <c r="D2" s="188" t="s">
        <v>11</v>
      </c>
      <c r="E2" s="189"/>
      <c r="F2" s="190"/>
      <c r="G2" s="54"/>
      <c r="H2" s="54"/>
      <c r="I2" s="188" t="s">
        <v>21</v>
      </c>
      <c r="J2" s="189"/>
      <c r="K2" s="190"/>
      <c r="L2" s="54"/>
      <c r="M2" s="54"/>
      <c r="N2" s="188" t="s">
        <v>22</v>
      </c>
      <c r="O2" s="189"/>
      <c r="P2" s="190"/>
    </row>
    <row r="3" spans="1:16" s="40" customFormat="1" ht="29" customHeight="1" x14ac:dyDescent="0.2">
      <c r="A3" s="187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16" s="2" customFormat="1" x14ac:dyDescent="0.2">
      <c r="A4" s="191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</row>
    <row r="5" spans="1:16" x14ac:dyDescent="0.2">
      <c r="A5" s="52" t="s">
        <v>58</v>
      </c>
      <c r="C5" s="46" t="s">
        <v>28</v>
      </c>
      <c r="D5" s="70"/>
      <c r="E5" s="71">
        <v>1.1063999999999999E-2</v>
      </c>
      <c r="F5" s="71">
        <v>9.8295999999999994E-2</v>
      </c>
      <c r="H5" s="46" t="s">
        <v>28</v>
      </c>
      <c r="I5" s="56"/>
      <c r="J5" s="55">
        <v>-0.108862</v>
      </c>
      <c r="K5" s="55">
        <v>-3.2832E-2</v>
      </c>
      <c r="M5" s="46" t="s">
        <v>28</v>
      </c>
      <c r="N5" s="56"/>
      <c r="O5" s="55">
        <v>4.6623999999999999E-2</v>
      </c>
      <c r="P5" s="55">
        <v>-2.1735999999999998E-2</v>
      </c>
    </row>
    <row r="6" spans="1:16" x14ac:dyDescent="0.2">
      <c r="A6" s="172" t="s">
        <v>59</v>
      </c>
      <c r="C6" s="46" t="s">
        <v>29</v>
      </c>
      <c r="D6" s="170"/>
      <c r="E6" s="171"/>
      <c r="F6" s="171"/>
      <c r="H6" s="46" t="s">
        <v>29</v>
      </c>
      <c r="I6" s="170"/>
      <c r="J6" s="171"/>
      <c r="K6" s="171"/>
      <c r="M6" s="46" t="s">
        <v>29</v>
      </c>
      <c r="N6" s="170"/>
      <c r="O6" s="171"/>
      <c r="P6" s="171"/>
    </row>
    <row r="7" spans="1:16" x14ac:dyDescent="0.2">
      <c r="A7" s="52" t="s">
        <v>60</v>
      </c>
      <c r="C7" s="46" t="s">
        <v>30</v>
      </c>
      <c r="D7" s="175"/>
      <c r="E7" s="176">
        <v>-7.1749999999999994E-2</v>
      </c>
      <c r="F7" s="176">
        <v>-0.12520800000000001</v>
      </c>
      <c r="G7" s="173"/>
      <c r="H7" s="174" t="s">
        <v>30</v>
      </c>
      <c r="I7" s="175"/>
      <c r="J7" s="176">
        <v>-2.3564000000000002E-2</v>
      </c>
      <c r="K7" s="176">
        <v>-3.687E-2</v>
      </c>
      <c r="L7" s="173"/>
      <c r="M7" s="174" t="s">
        <v>30</v>
      </c>
      <c r="N7" s="175"/>
      <c r="O7" s="176">
        <v>6.1384000000000001E-2</v>
      </c>
      <c r="P7" s="176">
        <v>-1.8808999999999999E-2</v>
      </c>
    </row>
    <row r="8" spans="1:16" x14ac:dyDescent="0.2">
      <c r="A8" s="52" t="s">
        <v>62</v>
      </c>
      <c r="C8" s="46" t="s">
        <v>31</v>
      </c>
      <c r="D8" s="70"/>
      <c r="E8" s="71">
        <v>-4.3138999999999997E-2</v>
      </c>
      <c r="F8" s="71">
        <v>3.9169000000000002E-2</v>
      </c>
      <c r="G8" s="173"/>
      <c r="H8" s="174" t="s">
        <v>31</v>
      </c>
      <c r="I8" s="175"/>
      <c r="J8" s="176">
        <v>-1.2534999999999999E-2</v>
      </c>
      <c r="K8" s="176">
        <v>-2.245E-3</v>
      </c>
      <c r="L8" s="173"/>
      <c r="M8" s="174" t="s">
        <v>31</v>
      </c>
      <c r="N8" s="70"/>
      <c r="O8" s="71">
        <v>-3.9213999999999999E-2</v>
      </c>
      <c r="P8" s="71">
        <v>-9.9374000000000004E-2</v>
      </c>
    </row>
    <row r="9" spans="1:16" x14ac:dyDescent="0.2">
      <c r="A9" s="52" t="s">
        <v>61</v>
      </c>
      <c r="C9" s="46" t="s">
        <v>50</v>
      </c>
      <c r="D9" s="175"/>
      <c r="E9" s="176">
        <v>4.9133000000000003E-2</v>
      </c>
      <c r="F9" s="176">
        <v>-2.8111000000000001E-2</v>
      </c>
      <c r="G9" s="173"/>
      <c r="H9" s="174" t="s">
        <v>50</v>
      </c>
      <c r="I9" s="175"/>
      <c r="J9" s="176">
        <v>8.2401000000000002E-2</v>
      </c>
      <c r="K9" s="176">
        <v>-1.4572999999999999E-2</v>
      </c>
      <c r="L9" s="173"/>
      <c r="M9" s="174" t="s">
        <v>50</v>
      </c>
      <c r="N9" s="175"/>
      <c r="O9" s="176">
        <v>3.4183999999999999E-2</v>
      </c>
      <c r="P9" s="176">
        <v>1.652E-3</v>
      </c>
    </row>
    <row r="10" spans="1:16" x14ac:dyDescent="0.2">
      <c r="A10" s="52" t="s">
        <v>63</v>
      </c>
      <c r="C10" s="46" t="s">
        <v>32</v>
      </c>
      <c r="D10" s="70"/>
      <c r="E10" s="71">
        <v>8.0077999999999996E-2</v>
      </c>
      <c r="F10" s="71">
        <v>-3.7600000000000001E-2</v>
      </c>
      <c r="G10" s="173"/>
      <c r="H10" s="174" t="s">
        <v>32</v>
      </c>
      <c r="I10" s="70"/>
      <c r="J10" s="71">
        <v>-4.6880999999999999E-2</v>
      </c>
      <c r="K10" s="71">
        <v>3.2036000000000002E-2</v>
      </c>
      <c r="L10" s="173"/>
      <c r="M10" s="174" t="s">
        <v>32</v>
      </c>
      <c r="N10" s="70"/>
      <c r="O10" s="71">
        <v>3.2375000000000001E-2</v>
      </c>
      <c r="P10" s="71">
        <v>0.246169</v>
      </c>
    </row>
    <row r="11" spans="1:16" x14ac:dyDescent="0.2">
      <c r="A11" s="52" t="s">
        <v>65</v>
      </c>
      <c r="C11" s="46" t="s">
        <v>33</v>
      </c>
      <c r="D11" s="70"/>
      <c r="E11" s="71">
        <v>-1.1753E-2</v>
      </c>
      <c r="F11" s="71">
        <v>4.6628999999999997E-2</v>
      </c>
      <c r="G11" s="173"/>
      <c r="H11" s="174" t="s">
        <v>33</v>
      </c>
      <c r="I11" s="70"/>
      <c r="J11" s="71">
        <v>7.6434000000000002E-2</v>
      </c>
      <c r="K11" s="71">
        <v>1.8661000000000001E-2</v>
      </c>
      <c r="L11" s="173"/>
      <c r="M11" s="174" t="s">
        <v>33</v>
      </c>
      <c r="N11" s="175"/>
      <c r="O11" s="176">
        <v>-1.1108E-2</v>
      </c>
      <c r="P11" s="176">
        <v>-1.8735999999999999E-2</v>
      </c>
    </row>
    <row r="12" spans="1:16" x14ac:dyDescent="0.2">
      <c r="A12" s="52" t="s">
        <v>64</v>
      </c>
      <c r="C12" s="46" t="s">
        <v>51</v>
      </c>
      <c r="D12" s="70"/>
      <c r="E12" s="71">
        <v>1.0576909999999999</v>
      </c>
      <c r="F12" s="71">
        <v>-0.87968599999999997</v>
      </c>
      <c r="G12" s="173"/>
      <c r="H12" s="174" t="s">
        <v>51</v>
      </c>
      <c r="I12" s="70"/>
      <c r="J12" s="71">
        <v>0.81670600000000004</v>
      </c>
      <c r="K12" s="71">
        <v>0.56384999999999996</v>
      </c>
      <c r="L12" s="173"/>
      <c r="M12" s="174" t="s">
        <v>51</v>
      </c>
      <c r="N12" s="70"/>
      <c r="O12" s="71">
        <v>4.8755E-2</v>
      </c>
      <c r="P12" s="71">
        <v>0.43383500000000003</v>
      </c>
    </row>
    <row r="13" spans="1:16" x14ac:dyDescent="0.2">
      <c r="A13" s="52" t="s">
        <v>66</v>
      </c>
      <c r="C13" s="46" t="s">
        <v>34</v>
      </c>
      <c r="D13" s="175"/>
      <c r="E13" s="176">
        <v>-3.656E-3</v>
      </c>
      <c r="F13" s="176">
        <v>-2.8176E-2</v>
      </c>
      <c r="G13" s="173"/>
      <c r="H13" s="174" t="s">
        <v>34</v>
      </c>
      <c r="I13" s="70"/>
      <c r="J13" s="71">
        <v>-9.698E-3</v>
      </c>
      <c r="K13" s="71">
        <v>-2.6738999999999999E-2</v>
      </c>
      <c r="L13" s="173"/>
      <c r="M13" s="174" t="s">
        <v>34</v>
      </c>
      <c r="N13" s="175"/>
      <c r="O13" s="176">
        <v>-1.2121E-2</v>
      </c>
      <c r="P13" s="176">
        <v>-2.9426999999999998E-2</v>
      </c>
    </row>
    <row r="14" spans="1:16" x14ac:dyDescent="0.2">
      <c r="A14" s="52" t="s">
        <v>67</v>
      </c>
      <c r="C14" s="46" t="s">
        <v>35</v>
      </c>
      <c r="D14" s="70"/>
      <c r="E14" s="71">
        <v>-0.22153200000000001</v>
      </c>
      <c r="F14" s="71">
        <v>0.172762</v>
      </c>
      <c r="G14" s="173"/>
      <c r="H14" s="174" t="s">
        <v>35</v>
      </c>
      <c r="I14" s="175"/>
      <c r="J14" s="176">
        <v>-5.6925999999999997E-2</v>
      </c>
      <c r="K14" s="176">
        <v>-0.105327</v>
      </c>
      <c r="L14" s="173"/>
      <c r="M14" s="174" t="s">
        <v>35</v>
      </c>
      <c r="N14" s="175"/>
      <c r="O14" s="176">
        <v>-0.14718600000000001</v>
      </c>
      <c r="P14" s="176">
        <v>0.17619099999999999</v>
      </c>
    </row>
    <row r="15" spans="1:16" x14ac:dyDescent="0.2">
      <c r="A15" s="52" t="s">
        <v>68</v>
      </c>
      <c r="C15" s="46" t="s">
        <v>36</v>
      </c>
      <c r="D15" s="175"/>
      <c r="E15" s="176">
        <v>-0.28815299999999999</v>
      </c>
      <c r="F15" s="176">
        <v>0.73006000000000004</v>
      </c>
      <c r="G15" s="173"/>
      <c r="H15" s="174" t="s">
        <v>36</v>
      </c>
      <c r="I15" s="70"/>
      <c r="J15" s="71">
        <v>-7.0405999999999996E-2</v>
      </c>
      <c r="K15" s="71">
        <v>-4.8212999999999999E-2</v>
      </c>
      <c r="L15" s="173"/>
      <c r="M15" s="174" t="s">
        <v>36</v>
      </c>
      <c r="N15" s="70"/>
      <c r="O15" s="71">
        <v>0.25645000000000001</v>
      </c>
      <c r="P15" s="71">
        <v>0.48599199999999998</v>
      </c>
    </row>
    <row r="16" spans="1:16" x14ac:dyDescent="0.2">
      <c r="A16" s="52" t="s">
        <v>69</v>
      </c>
      <c r="C16" s="46" t="s">
        <v>37</v>
      </c>
      <c r="D16" s="70"/>
      <c r="E16" s="71">
        <v>-8.1461000000000006E-2</v>
      </c>
      <c r="F16" s="71">
        <v>-1.272E-2</v>
      </c>
      <c r="G16" s="173"/>
      <c r="H16" s="174" t="s">
        <v>37</v>
      </c>
      <c r="I16" s="70"/>
      <c r="J16" s="71">
        <v>-0.15860199999999999</v>
      </c>
      <c r="K16" s="71">
        <v>-9.9640000000000006E-3</v>
      </c>
      <c r="L16" s="173"/>
      <c r="M16" s="174" t="s">
        <v>37</v>
      </c>
      <c r="N16" s="70"/>
      <c r="O16" s="71">
        <v>-0.1241</v>
      </c>
      <c r="P16" s="71">
        <v>-0.319803</v>
      </c>
    </row>
    <row r="17" spans="1:16" x14ac:dyDescent="0.2">
      <c r="A17" s="42" t="s">
        <v>39</v>
      </c>
      <c r="C17" s="46" t="s">
        <v>7</v>
      </c>
      <c r="D17" s="70"/>
      <c r="E17" s="71">
        <v>-3.9440999999999997E-2</v>
      </c>
      <c r="F17" s="71">
        <v>7.3652999999999996E-2</v>
      </c>
      <c r="G17" s="173"/>
      <c r="H17" s="174" t="s">
        <v>7</v>
      </c>
      <c r="I17" s="70"/>
      <c r="J17" s="71">
        <v>-1.5635E-2</v>
      </c>
      <c r="K17" s="71">
        <v>4.6629999999999996E-3</v>
      </c>
      <c r="L17" s="173"/>
      <c r="M17" s="174" t="s">
        <v>7</v>
      </c>
      <c r="N17" s="175"/>
      <c r="O17" s="176">
        <v>-6.0824000000000003E-2</v>
      </c>
      <c r="P17" s="176">
        <v>-3.9819E-2</v>
      </c>
    </row>
    <row r="18" spans="1:16" x14ac:dyDescent="0.2">
      <c r="A18" s="42" t="s">
        <v>40</v>
      </c>
      <c r="C18" s="46" t="s">
        <v>0</v>
      </c>
      <c r="D18" s="70"/>
      <c r="E18" s="71">
        <v>3.0263999999999999E-2</v>
      </c>
      <c r="F18" s="71">
        <v>-6.2385999999999997E-2</v>
      </c>
      <c r="G18" s="173"/>
      <c r="H18" s="174" t="s">
        <v>0</v>
      </c>
      <c r="I18" s="70"/>
      <c r="J18" s="71">
        <v>6.1279999999999998E-3</v>
      </c>
      <c r="K18" s="71">
        <v>3.9821000000000002E-2</v>
      </c>
      <c r="L18" s="173"/>
      <c r="M18" s="174" t="s">
        <v>0</v>
      </c>
      <c r="N18" s="70"/>
      <c r="O18" s="71">
        <v>-4.8580000000000003E-3</v>
      </c>
      <c r="P18" s="71">
        <v>4.0575E-2</v>
      </c>
    </row>
    <row r="19" spans="1:16" x14ac:dyDescent="0.2">
      <c r="A19" s="42" t="s">
        <v>41</v>
      </c>
      <c r="C19" s="46" t="s">
        <v>8</v>
      </c>
      <c r="D19" s="70"/>
      <c r="E19" s="71">
        <v>3.0823E-2</v>
      </c>
      <c r="F19" s="71">
        <v>3.0981000000000002E-2</v>
      </c>
      <c r="G19" s="173"/>
      <c r="H19" s="174" t="s">
        <v>8</v>
      </c>
      <c r="I19" s="70"/>
      <c r="J19" s="71">
        <v>-3.9898000000000003E-2</v>
      </c>
      <c r="K19" s="71">
        <v>-2.5618999999999999E-2</v>
      </c>
      <c r="L19" s="173"/>
      <c r="M19" s="174" t="s">
        <v>8</v>
      </c>
      <c r="N19" s="70"/>
      <c r="O19" s="71">
        <v>3.9529999999999999E-3</v>
      </c>
      <c r="P19" s="71">
        <v>-8.6809999999999995E-3</v>
      </c>
    </row>
    <row r="20" spans="1:16" x14ac:dyDescent="0.2">
      <c r="A20" s="42" t="s">
        <v>42</v>
      </c>
      <c r="C20" s="46" t="s">
        <v>1</v>
      </c>
      <c r="D20" s="70"/>
      <c r="E20" s="71">
        <v>-2.2072999999999999E-2</v>
      </c>
      <c r="F20" s="71">
        <v>5.2100000000000002E-3</v>
      </c>
      <c r="G20" s="173"/>
      <c r="H20" s="174" t="s">
        <v>1</v>
      </c>
      <c r="I20" s="70"/>
      <c r="J20" s="71">
        <v>-3.2682999999999997E-2</v>
      </c>
      <c r="K20" s="71">
        <v>1.8405999999999999E-2</v>
      </c>
      <c r="L20" s="173"/>
      <c r="M20" s="174" t="s">
        <v>1</v>
      </c>
      <c r="N20" s="70"/>
      <c r="O20" s="71">
        <v>-9.6600000000000002E-3</v>
      </c>
      <c r="P20" s="71">
        <v>1.7260999999999999E-2</v>
      </c>
    </row>
    <row r="21" spans="1:16" x14ac:dyDescent="0.2">
      <c r="A21" s="42" t="s">
        <v>43</v>
      </c>
      <c r="C21" s="46" t="s">
        <v>2</v>
      </c>
      <c r="D21" s="175"/>
      <c r="E21" s="176">
        <v>6.8900000000000003E-3</v>
      </c>
      <c r="F21" s="176">
        <v>7.5550000000000001E-3</v>
      </c>
      <c r="G21" s="173"/>
      <c r="H21" s="174" t="s">
        <v>2</v>
      </c>
      <c r="I21" s="175"/>
      <c r="J21" s="176">
        <v>6.6600000000000001E-3</v>
      </c>
      <c r="K21" s="176">
        <v>1.1056E-2</v>
      </c>
      <c r="L21" s="173"/>
      <c r="M21" s="174" t="s">
        <v>2</v>
      </c>
      <c r="N21" s="70"/>
      <c r="O21" s="71">
        <v>5.2680000000000001E-3</v>
      </c>
      <c r="P21" s="71">
        <v>6.2719999999999998E-3</v>
      </c>
    </row>
    <row r="22" spans="1:16" x14ac:dyDescent="0.2">
      <c r="A22" s="42" t="s">
        <v>44</v>
      </c>
      <c r="C22" s="46" t="s">
        <v>9</v>
      </c>
      <c r="D22" s="70"/>
      <c r="E22" s="71">
        <v>9.9393999999999996E-2</v>
      </c>
      <c r="F22" s="71">
        <v>-1.9122E-2</v>
      </c>
      <c r="G22" s="173"/>
      <c r="H22" s="174" t="s">
        <v>9</v>
      </c>
      <c r="I22" s="70"/>
      <c r="J22" s="71">
        <v>-4.2719E-2</v>
      </c>
      <c r="K22" s="71">
        <v>-9.1607999999999995E-2</v>
      </c>
      <c r="L22" s="173"/>
      <c r="M22" s="174" t="s">
        <v>9</v>
      </c>
      <c r="N22" s="70"/>
      <c r="O22" s="71">
        <v>0.13053300000000001</v>
      </c>
      <c r="P22" s="71">
        <v>-0.27194299999999999</v>
      </c>
    </row>
    <row r="23" spans="1:16" x14ac:dyDescent="0.2">
      <c r="A23" s="42" t="s">
        <v>45</v>
      </c>
      <c r="C23" s="46" t="s">
        <v>10</v>
      </c>
      <c r="D23" s="175"/>
      <c r="E23" s="176">
        <v>0.25851099999999999</v>
      </c>
      <c r="F23" s="176">
        <v>-0.16561500000000001</v>
      </c>
      <c r="G23" s="173"/>
      <c r="H23" s="174" t="s">
        <v>10</v>
      </c>
      <c r="I23" s="175"/>
      <c r="J23" s="176">
        <v>-0.110416</v>
      </c>
      <c r="K23" s="176">
        <v>0.251581</v>
      </c>
      <c r="L23" s="173"/>
      <c r="M23" s="174" t="s">
        <v>10</v>
      </c>
      <c r="N23" s="70"/>
      <c r="O23" s="71">
        <v>-9.7636000000000001E-2</v>
      </c>
      <c r="P23" s="71">
        <v>-1.5487000000000001E-2</v>
      </c>
    </row>
    <row r="24" spans="1:16" x14ac:dyDescent="0.2">
      <c r="A24" s="42" t="s">
        <v>46</v>
      </c>
      <c r="C24" s="46" t="s">
        <v>3</v>
      </c>
      <c r="D24" s="175"/>
      <c r="E24" s="176">
        <v>8.8336999999999999E-2</v>
      </c>
      <c r="F24" s="176">
        <v>7.4258000000000005E-2</v>
      </c>
      <c r="G24" s="173"/>
      <c r="H24" s="174" t="s">
        <v>3</v>
      </c>
      <c r="I24" s="70"/>
      <c r="J24" s="71">
        <v>-1.7673999999999999E-2</v>
      </c>
      <c r="K24" s="71">
        <v>2.4944999999999998E-2</v>
      </c>
      <c r="L24" s="173"/>
      <c r="M24" s="174" t="s">
        <v>3</v>
      </c>
      <c r="N24" s="175"/>
      <c r="O24" s="176">
        <v>-4.0766999999999998E-2</v>
      </c>
      <c r="P24" s="176">
        <v>0.40399400000000002</v>
      </c>
    </row>
    <row r="25" spans="1:16" x14ac:dyDescent="0.2">
      <c r="A25" s="42" t="s">
        <v>47</v>
      </c>
      <c r="C25" s="46" t="s">
        <v>4</v>
      </c>
      <c r="D25" s="70"/>
      <c r="E25" s="71">
        <v>-1.041593</v>
      </c>
      <c r="F25" s="71">
        <v>0.42514299999999999</v>
      </c>
      <c r="G25" s="173"/>
      <c r="H25" s="174" t="s">
        <v>4</v>
      </c>
      <c r="I25" s="70"/>
      <c r="J25" s="71">
        <v>0.29645700000000003</v>
      </c>
      <c r="K25" s="71">
        <v>-0.294933</v>
      </c>
      <c r="L25" s="173"/>
      <c r="M25" s="174" t="s">
        <v>4</v>
      </c>
      <c r="N25" s="70"/>
      <c r="O25" s="71">
        <v>4.4880000000000003E-2</v>
      </c>
      <c r="P25" s="71">
        <v>0.11419899999999999</v>
      </c>
    </row>
    <row r="26" spans="1:16" x14ac:dyDescent="0.2">
      <c r="A26" s="42" t="s">
        <v>48</v>
      </c>
      <c r="C26" s="46" t="s">
        <v>5</v>
      </c>
      <c r="D26" s="70"/>
      <c r="E26" s="71">
        <v>-6.3152E-2</v>
      </c>
      <c r="F26" s="71">
        <v>7.8098000000000001E-2</v>
      </c>
      <c r="G26" s="173"/>
      <c r="H26" s="174" t="s">
        <v>5</v>
      </c>
      <c r="I26" s="70"/>
      <c r="J26" s="71">
        <v>7.3900999999999994E-2</v>
      </c>
      <c r="K26" s="71">
        <v>-3.4851E-2</v>
      </c>
      <c r="L26" s="173"/>
      <c r="M26" s="174" t="s">
        <v>5</v>
      </c>
      <c r="N26" s="175"/>
      <c r="O26" s="176">
        <v>1.3495E-2</v>
      </c>
      <c r="P26" s="176">
        <v>-4.5314E-2</v>
      </c>
    </row>
    <row r="27" spans="1:16" x14ac:dyDescent="0.2">
      <c r="A27" s="42" t="s">
        <v>1599</v>
      </c>
      <c r="C27" s="46" t="s">
        <v>1598</v>
      </c>
      <c r="D27" s="70"/>
      <c r="E27" s="71">
        <v>0.143428</v>
      </c>
      <c r="F27" s="71">
        <v>-9.4402E-2</v>
      </c>
      <c r="G27" s="173"/>
      <c r="H27" s="174" t="s">
        <v>1598</v>
      </c>
      <c r="I27" s="70"/>
      <c r="J27" s="71">
        <v>-0.51233099999999998</v>
      </c>
      <c r="K27" s="71">
        <v>-0.16264000000000001</v>
      </c>
      <c r="L27" s="173"/>
      <c r="M27" s="174" t="s">
        <v>1598</v>
      </c>
      <c r="N27" s="70"/>
      <c r="O27" s="71">
        <v>0.57735700000000001</v>
      </c>
      <c r="P27" s="71">
        <v>0.60606199999999999</v>
      </c>
    </row>
    <row r="29" spans="1:16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16" x14ac:dyDescent="0.2">
      <c r="D30" s="32">
        <f>1/(1+E57+F57)</f>
        <v>0.52131264497966134</v>
      </c>
      <c r="E30" s="32">
        <f>E57*D30</f>
        <v>0.42686789434135985</v>
      </c>
      <c r="F30" s="32">
        <f>D30*F57</f>
        <v>5.1819460678979003E-2</v>
      </c>
      <c r="I30" s="32">
        <f>1/(1+J57+K57)</f>
        <v>0.64920534939070851</v>
      </c>
      <c r="J30" s="32">
        <f>J57*I30</f>
        <v>0.12836314854524927</v>
      </c>
      <c r="K30" s="32">
        <f>I30*K57</f>
        <v>0.22243150206404205</v>
      </c>
      <c r="N30" s="32">
        <f>1/(1+O57+P57)</f>
        <v>0.48630172390291154</v>
      </c>
      <c r="O30" s="32">
        <f>O57*N30</f>
        <v>0.34391146117120208</v>
      </c>
      <c r="P30" s="32">
        <f>N30*P57</f>
        <v>0.16978681492588654</v>
      </c>
    </row>
    <row r="31" spans="1:16" x14ac:dyDescent="0.2">
      <c r="C31" s="17"/>
      <c r="D31" s="23"/>
      <c r="E31" s="23"/>
      <c r="F31" s="23"/>
    </row>
    <row r="32" spans="1:16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CONTROL'!G4</f>
        <v>9</v>
      </c>
      <c r="E33" s="62">
        <f t="shared" ref="E33:F54" si="0">E5*$A33</f>
        <v>9.9575999999999998E-2</v>
      </c>
      <c r="F33" s="63">
        <f t="shared" si="0"/>
        <v>0.88466399999999989</v>
      </c>
      <c r="J33" s="62">
        <f t="shared" ref="J33:K54" si="1">J5*$A33</f>
        <v>-0.97975800000000002</v>
      </c>
      <c r="K33" s="63">
        <f t="shared" si="1"/>
        <v>-0.29548799999999997</v>
      </c>
      <c r="O33" s="62">
        <f t="shared" ref="O33:P54" si="2">O5*$A33</f>
        <v>0.41961599999999999</v>
      </c>
      <c r="P33" s="63">
        <f t="shared" si="2"/>
        <v>-0.19562399999999999</v>
      </c>
    </row>
    <row r="34" spans="1:16" ht="17" x14ac:dyDescent="0.25">
      <c r="A34" s="50">
        <f>'VAR CONTROL'!G5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CONTROL'!G6</f>
        <v>30</v>
      </c>
      <c r="D35" s="66"/>
      <c r="E35" s="64">
        <f t="shared" si="0"/>
        <v>-2.1524999999999999</v>
      </c>
      <c r="F35" s="65">
        <f t="shared" si="0"/>
        <v>-3.7562400000000005</v>
      </c>
      <c r="J35" s="64">
        <f t="shared" si="1"/>
        <v>-0.70691999999999999</v>
      </c>
      <c r="K35" s="65">
        <f t="shared" si="1"/>
        <v>-1.1061000000000001</v>
      </c>
      <c r="O35" s="64">
        <f t="shared" si="2"/>
        <v>1.84152</v>
      </c>
      <c r="P35" s="65">
        <f t="shared" si="2"/>
        <v>-0.56426999999999994</v>
      </c>
    </row>
    <row r="36" spans="1:16" ht="17" x14ac:dyDescent="0.25">
      <c r="A36" s="50">
        <f>'VAR CONTROL'!G7</f>
        <v>170.18</v>
      </c>
      <c r="D36" s="67"/>
      <c r="E36" s="64">
        <f t="shared" si="0"/>
        <v>-7.3413950199999993</v>
      </c>
      <c r="F36" s="65">
        <f t="shared" si="0"/>
        <v>6.6657804200000008</v>
      </c>
      <c r="J36" s="64">
        <f t="shared" si="1"/>
        <v>-2.1332062999999999</v>
      </c>
      <c r="K36" s="65">
        <f t="shared" si="1"/>
        <v>-0.38205410000000001</v>
      </c>
      <c r="O36" s="64">
        <f t="shared" si="2"/>
        <v>-6.6734385200000004</v>
      </c>
      <c r="P36" s="65">
        <f t="shared" si="2"/>
        <v>-16.91146732</v>
      </c>
    </row>
    <row r="37" spans="1:16" ht="17" x14ac:dyDescent="0.25">
      <c r="A37" s="50">
        <f>'VAR CONTROL'!G8</f>
        <v>65.770840000000007</v>
      </c>
      <c r="E37" s="64">
        <f t="shared" si="0"/>
        <v>3.2315186817200003</v>
      </c>
      <c r="F37" s="65">
        <f t="shared" si="0"/>
        <v>-1.8488840832400002</v>
      </c>
      <c r="J37" s="64">
        <f t="shared" si="1"/>
        <v>5.4195829868400009</v>
      </c>
      <c r="K37" s="65">
        <f t="shared" si="1"/>
        <v>-0.95847845132000009</v>
      </c>
      <c r="O37" s="64">
        <f t="shared" si="2"/>
        <v>2.2483103945600003</v>
      </c>
      <c r="P37" s="65">
        <f t="shared" si="2"/>
        <v>0.10865342768000001</v>
      </c>
    </row>
    <row r="38" spans="1:16" ht="17" x14ac:dyDescent="0.25">
      <c r="A38" s="50">
        <f>'VAR CONTROL'!G9</f>
        <v>70</v>
      </c>
      <c r="E38" s="64">
        <f t="shared" si="0"/>
        <v>5.6054599999999999</v>
      </c>
      <c r="F38" s="65">
        <f t="shared" si="0"/>
        <v>-2.6320000000000001</v>
      </c>
      <c r="J38" s="64">
        <f t="shared" si="1"/>
        <v>-3.2816700000000001</v>
      </c>
      <c r="K38" s="65">
        <f t="shared" si="1"/>
        <v>2.2425200000000003</v>
      </c>
      <c r="O38" s="64">
        <f t="shared" si="2"/>
        <v>2.2662499999999999</v>
      </c>
      <c r="P38" s="65">
        <f t="shared" si="2"/>
        <v>17.231829999999999</v>
      </c>
    </row>
    <row r="39" spans="1:16" ht="17" x14ac:dyDescent="0.25">
      <c r="A39" s="50">
        <f>'VAR CONTROL'!G10</f>
        <v>8</v>
      </c>
      <c r="E39" s="64">
        <f t="shared" si="0"/>
        <v>-9.4023999999999996E-2</v>
      </c>
      <c r="F39" s="65">
        <f t="shared" si="0"/>
        <v>0.37303199999999997</v>
      </c>
      <c r="J39" s="64">
        <f t="shared" si="1"/>
        <v>0.61147200000000002</v>
      </c>
      <c r="K39" s="65">
        <f t="shared" si="1"/>
        <v>0.149288</v>
      </c>
      <c r="O39" s="64">
        <f t="shared" si="2"/>
        <v>-8.8863999999999999E-2</v>
      </c>
      <c r="P39" s="65">
        <f t="shared" si="2"/>
        <v>-0.14988799999999999</v>
      </c>
    </row>
    <row r="40" spans="1:16" ht="17" x14ac:dyDescent="0.25">
      <c r="A40" s="50">
        <f>'VAR CONTROL'!G11</f>
        <v>0.875</v>
      </c>
      <c r="E40" s="64">
        <f t="shared" si="0"/>
        <v>0.92547962499999992</v>
      </c>
      <c r="F40" s="65">
        <f t="shared" si="0"/>
        <v>-0.76972525000000003</v>
      </c>
      <c r="J40" s="64">
        <f t="shared" si="1"/>
        <v>0.71461775000000005</v>
      </c>
      <c r="K40" s="65">
        <f t="shared" si="1"/>
        <v>0.49336874999999997</v>
      </c>
      <c r="O40" s="64">
        <f t="shared" si="2"/>
        <v>4.2660625000000001E-2</v>
      </c>
      <c r="P40" s="65">
        <f t="shared" si="2"/>
        <v>0.379605625</v>
      </c>
    </row>
    <row r="41" spans="1:16" ht="17" x14ac:dyDescent="0.25">
      <c r="A41" s="50">
        <f>'VAR CONTROL'!G12</f>
        <v>53.625</v>
      </c>
      <c r="E41" s="64">
        <f t="shared" si="0"/>
        <v>-0.19605300000000001</v>
      </c>
      <c r="F41" s="65">
        <f t="shared" si="0"/>
        <v>-1.5109379999999999</v>
      </c>
      <c r="J41" s="64">
        <f t="shared" si="1"/>
        <v>-0.52005524999999997</v>
      </c>
      <c r="K41" s="65">
        <f t="shared" si="1"/>
        <v>-1.433878875</v>
      </c>
      <c r="O41" s="64">
        <f t="shared" si="2"/>
        <v>-0.64998862499999999</v>
      </c>
      <c r="P41" s="65">
        <f t="shared" si="2"/>
        <v>-1.5780228749999998</v>
      </c>
    </row>
    <row r="42" spans="1:16" ht="17" x14ac:dyDescent="0.25">
      <c r="A42" s="50">
        <f>'VAR CONTROL'!G13</f>
        <v>1.5</v>
      </c>
      <c r="E42" s="64">
        <f t="shared" si="0"/>
        <v>-0.33229799999999998</v>
      </c>
      <c r="F42" s="65">
        <f t="shared" si="0"/>
        <v>0.25914300000000001</v>
      </c>
      <c r="J42" s="64">
        <f t="shared" si="1"/>
        <v>-8.5388999999999993E-2</v>
      </c>
      <c r="K42" s="65">
        <f t="shared" si="1"/>
        <v>-0.15799050000000001</v>
      </c>
      <c r="O42" s="64">
        <f t="shared" si="2"/>
        <v>-0.220779</v>
      </c>
      <c r="P42" s="65">
        <f t="shared" si="2"/>
        <v>0.26428649999999998</v>
      </c>
    </row>
    <row r="43" spans="1:16" ht="17" x14ac:dyDescent="0.25">
      <c r="A43" s="50">
        <f>'VAR CONTROL'!G14</f>
        <v>0.375</v>
      </c>
      <c r="E43" s="64">
        <f t="shared" si="0"/>
        <v>-0.108057375</v>
      </c>
      <c r="F43" s="65">
        <f t="shared" si="0"/>
        <v>0.27377250000000003</v>
      </c>
      <c r="J43" s="64">
        <f t="shared" si="1"/>
        <v>-2.6402249999999999E-2</v>
      </c>
      <c r="K43" s="65">
        <f t="shared" si="1"/>
        <v>-1.8079874999999999E-2</v>
      </c>
      <c r="O43" s="64">
        <f t="shared" si="2"/>
        <v>9.6168749999999997E-2</v>
      </c>
      <c r="P43" s="65">
        <f t="shared" si="2"/>
        <v>0.18224699999999999</v>
      </c>
    </row>
    <row r="44" spans="1:16" ht="17" x14ac:dyDescent="0.25">
      <c r="A44" s="50">
        <f>'VAR CONTROL'!G15</f>
        <v>1.375</v>
      </c>
      <c r="E44" s="64">
        <f t="shared" si="0"/>
        <v>-0.11200887500000001</v>
      </c>
      <c r="F44" s="65">
        <f t="shared" si="0"/>
        <v>-1.7490000000000002E-2</v>
      </c>
      <c r="J44" s="64">
        <f t="shared" si="1"/>
        <v>-0.21807774999999999</v>
      </c>
      <c r="K44" s="65">
        <f t="shared" si="1"/>
        <v>-1.3700500000000001E-2</v>
      </c>
      <c r="O44" s="64">
        <f t="shared" si="2"/>
        <v>-0.1706375</v>
      </c>
      <c r="P44" s="65">
        <f t="shared" si="2"/>
        <v>-0.439729125</v>
      </c>
    </row>
    <row r="45" spans="1:16" ht="17" x14ac:dyDescent="0.25">
      <c r="A45" s="50">
        <f>'VAR CONTROL'!G16</f>
        <v>2</v>
      </c>
      <c r="E45" s="64">
        <f t="shared" si="0"/>
        <v>-7.8881999999999994E-2</v>
      </c>
      <c r="F45" s="65">
        <f t="shared" si="0"/>
        <v>0.14730599999999999</v>
      </c>
      <c r="J45" s="64">
        <f t="shared" si="1"/>
        <v>-3.1269999999999999E-2</v>
      </c>
      <c r="K45" s="65">
        <f t="shared" si="1"/>
        <v>9.3259999999999992E-3</v>
      </c>
      <c r="O45" s="64">
        <f t="shared" si="2"/>
        <v>-0.12164800000000001</v>
      </c>
      <c r="P45" s="65">
        <f t="shared" si="2"/>
        <v>-7.9638E-2</v>
      </c>
    </row>
    <row r="46" spans="1:16" ht="17" x14ac:dyDescent="0.25">
      <c r="A46" s="50">
        <f>'VAR CONTROL'!G17</f>
        <v>-5.0799999999999841</v>
      </c>
      <c r="E46" s="64">
        <f t="shared" si="0"/>
        <v>-0.15374111999999951</v>
      </c>
      <c r="F46" s="65">
        <f t="shared" si="0"/>
        <v>0.31692087999999902</v>
      </c>
      <c r="J46" s="64">
        <f t="shared" si="1"/>
        <v>-3.1130239999999903E-2</v>
      </c>
      <c r="K46" s="65">
        <f t="shared" si="1"/>
        <v>-0.20229067999999939</v>
      </c>
      <c r="O46" s="64">
        <f t="shared" si="2"/>
        <v>2.4678639999999925E-2</v>
      </c>
      <c r="P46" s="65">
        <f t="shared" si="2"/>
        <v>-0.20612099999999936</v>
      </c>
    </row>
    <row r="47" spans="1:16" ht="17" x14ac:dyDescent="0.25">
      <c r="A47" s="50">
        <f>'VAR CONTROL'!G18</f>
        <v>-11.339799999999997</v>
      </c>
      <c r="E47" s="64">
        <f t="shared" si="0"/>
        <v>-0.34952665539999989</v>
      </c>
      <c r="F47" s="65">
        <f t="shared" si="0"/>
        <v>-0.35131834379999993</v>
      </c>
      <c r="J47" s="64">
        <f t="shared" si="1"/>
        <v>0.45243534039999989</v>
      </c>
      <c r="K47" s="65">
        <f t="shared" si="1"/>
        <v>0.29051433619999989</v>
      </c>
      <c r="O47" s="64">
        <f t="shared" si="2"/>
        <v>-4.4826229399999987E-2</v>
      </c>
      <c r="P47" s="65">
        <f t="shared" si="2"/>
        <v>9.8440803799999962E-2</v>
      </c>
    </row>
    <row r="48" spans="1:16" ht="17" x14ac:dyDescent="0.25">
      <c r="A48" s="50">
        <f>'VAR CONTROL'!G19</f>
        <v>1</v>
      </c>
      <c r="E48" s="64">
        <f t="shared" si="0"/>
        <v>-2.2072999999999999E-2</v>
      </c>
      <c r="F48" s="65">
        <f t="shared" si="0"/>
        <v>5.2100000000000002E-3</v>
      </c>
      <c r="J48" s="64">
        <f t="shared" si="1"/>
        <v>-3.2682999999999997E-2</v>
      </c>
      <c r="K48" s="65">
        <f t="shared" si="1"/>
        <v>1.8405999999999999E-2</v>
      </c>
      <c r="O48" s="64">
        <f t="shared" si="2"/>
        <v>-9.6600000000000002E-3</v>
      </c>
      <c r="P48" s="65">
        <f t="shared" si="2"/>
        <v>1.7260999999999999E-2</v>
      </c>
    </row>
    <row r="49" spans="1:16" ht="17" x14ac:dyDescent="0.25">
      <c r="A49" s="50">
        <f>'VAR CONTROL'!G20</f>
        <v>22.767857142857142</v>
      </c>
      <c r="E49" s="64">
        <f t="shared" si="0"/>
        <v>0.15687053571428572</v>
      </c>
      <c r="F49" s="65">
        <f t="shared" si="0"/>
        <v>0.17201116071428571</v>
      </c>
      <c r="J49" s="64">
        <f t="shared" si="1"/>
        <v>0.15163392857142857</v>
      </c>
      <c r="K49" s="65">
        <f t="shared" si="1"/>
        <v>0.25172142857142854</v>
      </c>
      <c r="O49" s="64">
        <f t="shared" si="2"/>
        <v>0.11994107142857142</v>
      </c>
      <c r="P49" s="65">
        <f t="shared" si="2"/>
        <v>0.14279999999999998</v>
      </c>
    </row>
    <row r="50" spans="1:16" ht="17" x14ac:dyDescent="0.25">
      <c r="A50" s="50">
        <f>'VAR CONTROL'!G21</f>
        <v>0.7857142857142857</v>
      </c>
      <c r="E50" s="64">
        <f t="shared" si="0"/>
        <v>7.8095285714285714E-2</v>
      </c>
      <c r="F50" s="65">
        <f t="shared" si="0"/>
        <v>-1.5024428571428571E-2</v>
      </c>
      <c r="J50" s="64">
        <f t="shared" si="1"/>
        <v>-3.3564928571428572E-2</v>
      </c>
      <c r="K50" s="65">
        <f t="shared" si="1"/>
        <v>-7.1977714285714284E-2</v>
      </c>
      <c r="O50" s="64">
        <f t="shared" si="2"/>
        <v>0.10256164285714287</v>
      </c>
      <c r="P50" s="65">
        <f t="shared" si="2"/>
        <v>-0.21366949999999998</v>
      </c>
    </row>
    <row r="51" spans="1:16" ht="17" x14ac:dyDescent="0.25">
      <c r="A51" s="50">
        <f>'VAR CONTROL'!G22</f>
        <v>0.375</v>
      </c>
      <c r="E51" s="64">
        <f t="shared" si="0"/>
        <v>9.6941625000000003E-2</v>
      </c>
      <c r="F51" s="65">
        <f t="shared" si="0"/>
        <v>-6.2105625000000005E-2</v>
      </c>
      <c r="J51" s="64">
        <f t="shared" si="1"/>
        <v>-4.1405999999999998E-2</v>
      </c>
      <c r="K51" s="65">
        <f t="shared" si="1"/>
        <v>9.4342874999999993E-2</v>
      </c>
      <c r="O51" s="64">
        <f t="shared" si="2"/>
        <v>-3.66135E-2</v>
      </c>
      <c r="P51" s="65">
        <f t="shared" si="2"/>
        <v>-5.8076250000000003E-3</v>
      </c>
    </row>
    <row r="52" spans="1:16" ht="17" x14ac:dyDescent="0.25">
      <c r="A52" s="50">
        <f>'VAR CONTROL'!G23</f>
        <v>0.23214285714285721</v>
      </c>
      <c r="E52" s="64">
        <f t="shared" si="0"/>
        <v>2.0506803571428575E-2</v>
      </c>
      <c r="F52" s="65">
        <f t="shared" si="0"/>
        <v>1.7238464285714291E-2</v>
      </c>
      <c r="J52" s="64">
        <f t="shared" si="1"/>
        <v>-4.1028928571428579E-3</v>
      </c>
      <c r="K52" s="65">
        <f t="shared" si="1"/>
        <v>5.7908035714285726E-3</v>
      </c>
      <c r="O52" s="64">
        <f t="shared" si="2"/>
        <v>-9.4637678571428598E-3</v>
      </c>
      <c r="P52" s="65">
        <f t="shared" si="2"/>
        <v>9.378432142857146E-2</v>
      </c>
    </row>
    <row r="53" spans="1:16" ht="17" x14ac:dyDescent="0.25">
      <c r="A53" s="50">
        <f>'VAR CONTROL'!G24</f>
        <v>-0.125</v>
      </c>
      <c r="E53" s="64">
        <f t="shared" si="0"/>
        <v>0.130199125</v>
      </c>
      <c r="F53" s="65">
        <f t="shared" si="0"/>
        <v>-5.3142874999999999E-2</v>
      </c>
      <c r="J53" s="64">
        <f t="shared" si="1"/>
        <v>-3.7057125000000003E-2</v>
      </c>
      <c r="K53" s="65">
        <f t="shared" si="1"/>
        <v>3.6866625E-2</v>
      </c>
      <c r="O53" s="64">
        <f t="shared" si="2"/>
        <v>-5.6100000000000004E-3</v>
      </c>
      <c r="P53" s="65">
        <f t="shared" si="2"/>
        <v>-1.4274874999999999E-2</v>
      </c>
    </row>
    <row r="54" spans="1:16" ht="17" x14ac:dyDescent="0.25">
      <c r="A54" s="51">
        <f>'VAR CONTROL'!G25</f>
        <v>-4</v>
      </c>
      <c r="E54" s="64">
        <f t="shared" si="0"/>
        <v>0.252608</v>
      </c>
      <c r="F54" s="65">
        <f t="shared" si="0"/>
        <v>-0.312392</v>
      </c>
      <c r="J54" s="64">
        <f t="shared" si="1"/>
        <v>-0.29560399999999998</v>
      </c>
      <c r="K54" s="65">
        <f t="shared" si="1"/>
        <v>0.139404</v>
      </c>
      <c r="O54" s="64">
        <f t="shared" si="2"/>
        <v>-5.398E-2</v>
      </c>
      <c r="P54" s="65">
        <f t="shared" si="2"/>
        <v>0.181256</v>
      </c>
    </row>
    <row r="55" spans="1:16" ht="17" x14ac:dyDescent="0.25">
      <c r="A55" s="51">
        <f>'VAR CONTROL'!F26</f>
        <v>1</v>
      </c>
      <c r="E55" s="68">
        <f t="shared" ref="E55:F55" si="3">E27*$A55</f>
        <v>0.143428</v>
      </c>
      <c r="F55" s="69">
        <f t="shared" si="3"/>
        <v>-9.4402E-2</v>
      </c>
      <c r="J55" s="68">
        <f t="shared" ref="J55:K55" si="4">J27*$A55</f>
        <v>-0.51233099999999998</v>
      </c>
      <c r="K55" s="69">
        <f t="shared" si="4"/>
        <v>-0.16264000000000001</v>
      </c>
      <c r="O55" s="68">
        <f t="shared" ref="O55:P55" si="5">O27*$A55</f>
        <v>0.57735700000000001</v>
      </c>
      <c r="P55" s="69">
        <f t="shared" si="5"/>
        <v>0.60606199999999999</v>
      </c>
    </row>
    <row r="56" spans="1:16" x14ac:dyDescent="0.2">
      <c r="E56" s="62">
        <f>SUM(E33:E55)</f>
        <v>-0.1998753636799982</v>
      </c>
      <c r="F56" s="63">
        <f>SUM(F33:F55)</f>
        <v>-2.30858418061143</v>
      </c>
      <c r="J56" s="62">
        <f>SUM(J33:J55)</f>
        <v>-1.6208857306171423</v>
      </c>
      <c r="K56" s="63">
        <f>SUM(K33:K55)</f>
        <v>-1.0711298772628566</v>
      </c>
      <c r="O56" s="62">
        <f>SUM(O33:O55)</f>
        <v>-0.34644501841142927</v>
      </c>
      <c r="P56" s="63">
        <f>SUM(P33:P55)</f>
        <v>-1.0522856420914279</v>
      </c>
    </row>
    <row r="57" spans="1:16" x14ac:dyDescent="0.2">
      <c r="E57" s="68">
        <f>EXP(E56)</f>
        <v>0.81883280302555062</v>
      </c>
      <c r="F57" s="69">
        <f>EXP(F56)</f>
        <v>9.9401887097905914E-2</v>
      </c>
      <c r="J57" s="68">
        <f>EXP(J56)</f>
        <v>0.19772349175144738</v>
      </c>
      <c r="K57" s="69">
        <f>EXP(K56)</f>
        <v>0.34262117875768927</v>
      </c>
      <c r="O57" s="68">
        <f>EXP(O56)</f>
        <v>0.70719770107140889</v>
      </c>
      <c r="P57" s="69">
        <f>EXP(P56)</f>
        <v>0.34913883003175183</v>
      </c>
    </row>
  </sheetData>
  <mergeCells count="5">
    <mergeCell ref="C1:P1"/>
    <mergeCell ref="A2:A4"/>
    <mergeCell ref="D2:F2"/>
    <mergeCell ref="I2:K2"/>
    <mergeCell ref="N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APPLICATION</vt:lpstr>
      <vt:lpstr>python check</vt:lpstr>
      <vt:lpstr>VAR CONTROL</vt:lpstr>
      <vt:lpstr>DATA</vt:lpstr>
      <vt:lpstr>MODEL_SPECS =&gt;</vt:lpstr>
      <vt:lpstr>WIN.LOSS MODEL - F1</vt:lpstr>
      <vt:lpstr>WIN.TYPE MODEL - F1</vt:lpstr>
      <vt:lpstr>WIN.LOSS MODEL - F2</vt:lpstr>
      <vt:lpstr>WIN.TYPE MODEL - F2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2016-05-15T12:31:56Z</dcterms:created>
  <dcterms:modified xsi:type="dcterms:W3CDTF">2016-05-26T23:09:10Z</dcterms:modified>
</cp:coreProperties>
</file>